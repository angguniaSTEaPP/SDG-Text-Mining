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.sharepoint.com/sites/AngguniaPhD/Shared Documents/Research/Text Analysis of Correlation between Country Development Plans and SDG achievement in a Global Context/SDG-Text-Mining/data/"/>
    </mc:Choice>
  </mc:AlternateContent>
  <xr:revisionPtr revIDLastSave="901" documentId="13_ncr:1_{38815863-EF5A-7E4A-A1F0-5B96968434C2}" xr6:coauthVersionLast="47" xr6:coauthVersionMax="47" xr10:uidLastSave="{5604B31D-0F79-9B4D-8954-5F9461A814B9}"/>
  <bookViews>
    <workbookView xWindow="3940" yWindow="640" windowWidth="22580" windowHeight="16520" activeTab="2" xr2:uid="{2F40F0BD-F1A6-9141-ABA8-C113D4E3DAAA}"/>
  </bookViews>
  <sheets>
    <sheet name="ISO" sheetId="1" r:id="rId1"/>
    <sheet name="ISOraw" sheetId="3" r:id="rId2"/>
    <sheet name="CountryData" sheetId="4" r:id="rId3"/>
    <sheet name="lang_tr" sheetId="5" r:id="rId4"/>
    <sheet name="Sources" sheetId="2" r:id="rId5"/>
    <sheet name="Region" sheetId="6" r:id="rId6"/>
    <sheet name="GDP" sheetId="7" r:id="rId7"/>
  </sheets>
  <externalReferences>
    <externalReference r:id="rId8"/>
  </externalReferences>
  <definedNames>
    <definedName name="_xlnm._FilterDatabase" localSheetId="2" hidden="1">CountryData!$A$1:$H$194</definedName>
    <definedName name="_xlnm._FilterDatabase" localSheetId="3" hidden="1">lang_tr!$A$1:$B$25</definedName>
    <definedName name="_xlnm._FilterDatabase" localSheetId="5" hidden="1">Region!$A$1:$E$258</definedName>
    <definedName name="oecd">[1]OECD!$B$2:$B$36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4" i="4" l="1"/>
  <c r="N193" i="4"/>
  <c r="N192" i="4"/>
  <c r="N191" i="4"/>
  <c r="N190" i="4"/>
  <c r="N189" i="4"/>
  <c r="N188" i="4"/>
  <c r="N187" i="4"/>
  <c r="N186" i="4"/>
  <c r="N185" i="4"/>
  <c r="N184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5" i="4"/>
  <c r="N132" i="4"/>
  <c r="N130" i="4"/>
  <c r="N129" i="4"/>
  <c r="N128" i="4"/>
  <c r="N127" i="4"/>
  <c r="N125" i="4"/>
  <c r="N124" i="4"/>
  <c r="N123" i="4"/>
  <c r="N122" i="4"/>
  <c r="N121" i="4"/>
  <c r="N120" i="4"/>
  <c r="N119" i="4"/>
  <c r="N118" i="4"/>
  <c r="N117" i="4"/>
  <c r="N116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0" i="4"/>
  <c r="N69" i="4"/>
  <c r="N68" i="4"/>
  <c r="N67" i="4"/>
  <c r="N66" i="4"/>
  <c r="N65" i="4"/>
  <c r="N64" i="4"/>
  <c r="N63" i="4"/>
  <c r="N61" i="4"/>
  <c r="N60" i="4"/>
  <c r="N59" i="4"/>
  <c r="N58" i="4"/>
  <c r="N57" i="4"/>
  <c r="N56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39" i="4"/>
  <c r="N38" i="4"/>
  <c r="N37" i="4"/>
  <c r="N36" i="4"/>
  <c r="N35" i="4"/>
  <c r="N34" i="4"/>
  <c r="N33" i="4"/>
  <c r="N31" i="4"/>
  <c r="N30" i="4"/>
  <c r="N29" i="4"/>
  <c r="N28" i="4"/>
  <c r="N27" i="4"/>
  <c r="N26" i="4"/>
  <c r="N25" i="4"/>
  <c r="N23" i="4"/>
  <c r="N22" i="4"/>
  <c r="N21" i="4"/>
  <c r="N20" i="4"/>
  <c r="N19" i="4"/>
  <c r="N17" i="4"/>
  <c r="N16" i="4"/>
  <c r="N15" i="4"/>
  <c r="N13" i="4"/>
  <c r="N12" i="4"/>
  <c r="N11" i="4"/>
  <c r="N10" i="4"/>
  <c r="N9" i="4"/>
  <c r="N8" i="4"/>
  <c r="N7" i="4"/>
  <c r="N6" i="4"/>
  <c r="N5" i="4"/>
  <c r="N3" i="4"/>
  <c r="N2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F194" i="1" l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  <c r="F2" i="1"/>
  <c r="F4" i="1"/>
  <c r="D196" i="3"/>
  <c r="D197" i="3" s="1"/>
  <c r="E196" i="1"/>
  <c r="E197" i="1" s="1"/>
</calcChain>
</file>

<file path=xl/sharedStrings.xml><?xml version="1.0" encoding="utf-8"?>
<sst xmlns="http://schemas.openxmlformats.org/spreadsheetml/2006/main" count="6527" uniqueCount="1189">
  <si>
    <t>id</t>
  </si>
  <si>
    <t>Country</t>
  </si>
  <si>
    <t>SWE</t>
  </si>
  <si>
    <t>Sweden</t>
  </si>
  <si>
    <t>CHE</t>
  </si>
  <si>
    <t>Switzerland</t>
  </si>
  <si>
    <t>NLD</t>
  </si>
  <si>
    <t>Netherlands</t>
  </si>
  <si>
    <t>FIN</t>
  </si>
  <si>
    <t>Finland</t>
  </si>
  <si>
    <t>BEN</t>
  </si>
  <si>
    <t>Benin</t>
  </si>
  <si>
    <t>NOR</t>
  </si>
  <si>
    <t>Norway</t>
  </si>
  <si>
    <t>IDN</t>
  </si>
  <si>
    <t>Indonesia</t>
  </si>
  <si>
    <t>AUT</t>
  </si>
  <si>
    <t>Austria</t>
  </si>
  <si>
    <t>DNK</t>
  </si>
  <si>
    <t>Denmark</t>
  </si>
  <si>
    <t>ITA</t>
  </si>
  <si>
    <t>Italy</t>
  </si>
  <si>
    <t>PRT</t>
  </si>
  <si>
    <t>Portugal</t>
  </si>
  <si>
    <t>ESP</t>
  </si>
  <si>
    <t>Spain</t>
  </si>
  <si>
    <t>JPN</t>
  </si>
  <si>
    <t>Japan</t>
  </si>
  <si>
    <t>DEU</t>
  </si>
  <si>
    <t>Germany</t>
  </si>
  <si>
    <t>BEL</t>
  </si>
  <si>
    <t>Belgium</t>
  </si>
  <si>
    <t>CAN</t>
  </si>
  <si>
    <t>Canada</t>
  </si>
  <si>
    <t>GRC</t>
  </si>
  <si>
    <t>Greece</t>
  </si>
  <si>
    <t>MEX</t>
  </si>
  <si>
    <t>Mexico</t>
  </si>
  <si>
    <t>COL</t>
  </si>
  <si>
    <t>Colombia</t>
  </si>
  <si>
    <t>IRL</t>
  </si>
  <si>
    <t>Ireland</t>
  </si>
  <si>
    <t>SVN</t>
  </si>
  <si>
    <t>Slovenia</t>
  </si>
  <si>
    <t>GHA</t>
  </si>
  <si>
    <t>Ghana</t>
  </si>
  <si>
    <t>CYP</t>
  </si>
  <si>
    <t>Cyprus</t>
  </si>
  <si>
    <t>CHL</t>
  </si>
  <si>
    <t>Chile</t>
  </si>
  <si>
    <t>THA</t>
  </si>
  <si>
    <t>Thailand</t>
  </si>
  <si>
    <t>CZE</t>
  </si>
  <si>
    <t>Czechia</t>
  </si>
  <si>
    <t>EGY</t>
  </si>
  <si>
    <t>Egypt, Arab Rep.</t>
  </si>
  <si>
    <t>ROU</t>
  </si>
  <si>
    <t>Romania</t>
  </si>
  <si>
    <t>SEN</t>
  </si>
  <si>
    <t>Senegal</t>
  </si>
  <si>
    <t>NGA</t>
  </si>
  <si>
    <t>Nigeria</t>
  </si>
  <si>
    <t>FRA</t>
  </si>
  <si>
    <t>France</t>
  </si>
  <si>
    <t>BRB</t>
  </si>
  <si>
    <t>Barbados</t>
  </si>
  <si>
    <t>KEN</t>
  </si>
  <si>
    <t>Kenya</t>
  </si>
  <si>
    <t>PHL</t>
  </si>
  <si>
    <t>Philippines</t>
  </si>
  <si>
    <t>ECU</t>
  </si>
  <si>
    <t>Ecuador</t>
  </si>
  <si>
    <t>MYS</t>
  </si>
  <si>
    <t>Malaysia</t>
  </si>
  <si>
    <t>SAU</t>
  </si>
  <si>
    <t>Saudi Arabia</t>
  </si>
  <si>
    <t>PAK</t>
  </si>
  <si>
    <t>Pakistan</t>
  </si>
  <si>
    <t>ARG</t>
  </si>
  <si>
    <t>Argentina</t>
  </si>
  <si>
    <t>MAR</t>
  </si>
  <si>
    <t>Morocco</t>
  </si>
  <si>
    <t>GEO</t>
  </si>
  <si>
    <t>Georgia</t>
  </si>
  <si>
    <t>UGA</t>
  </si>
  <si>
    <t>Uganda</t>
  </si>
  <si>
    <t>WSM</t>
  </si>
  <si>
    <t>Samoa</t>
  </si>
  <si>
    <t>POL</t>
  </si>
  <si>
    <t>Poland</t>
  </si>
  <si>
    <t>BGR</t>
  </si>
  <si>
    <t>Bulgaria</t>
  </si>
  <si>
    <t>TUR</t>
  </si>
  <si>
    <t>Türkiye</t>
  </si>
  <si>
    <t>JAM</t>
  </si>
  <si>
    <t>Jamaica</t>
  </si>
  <si>
    <t>KAZ</t>
  </si>
  <si>
    <t>Kazakhstan</t>
  </si>
  <si>
    <t>BGD</t>
  </si>
  <si>
    <t>Bangladesh</t>
  </si>
  <si>
    <t>CHN</t>
  </si>
  <si>
    <t>China</t>
  </si>
  <si>
    <t>SRB</t>
  </si>
  <si>
    <t>Serbia</t>
  </si>
  <si>
    <t>NZL</t>
  </si>
  <si>
    <t>New Zealand</t>
  </si>
  <si>
    <t>KOR</t>
  </si>
  <si>
    <t>Korea, Rep.</t>
  </si>
  <si>
    <t>GBR</t>
  </si>
  <si>
    <t>United Kingdom</t>
  </si>
  <si>
    <t>SYC</t>
  </si>
  <si>
    <t>Seychelles</t>
  </si>
  <si>
    <t>ZAF</t>
  </si>
  <si>
    <t>South Africa</t>
  </si>
  <si>
    <t>HUN</t>
  </si>
  <si>
    <t>Hungary</t>
  </si>
  <si>
    <t>VNM</t>
  </si>
  <si>
    <t>Vietnam</t>
  </si>
  <si>
    <t>ETH</t>
  </si>
  <si>
    <t>Ethiopia</t>
  </si>
  <si>
    <t>COD</t>
  </si>
  <si>
    <t>Congo, Dem. Rep.</t>
  </si>
  <si>
    <t>PER</t>
  </si>
  <si>
    <t>Peru</t>
  </si>
  <si>
    <t>ALB</t>
  </si>
  <si>
    <t>Albania</t>
  </si>
  <si>
    <t>UKR</t>
  </si>
  <si>
    <t>Ukraine</t>
  </si>
  <si>
    <t>BRA</t>
  </si>
  <si>
    <t>Brazil</t>
  </si>
  <si>
    <t>IND</t>
  </si>
  <si>
    <t>India</t>
  </si>
  <si>
    <t>DZA</t>
  </si>
  <si>
    <t>Algeria</t>
  </si>
  <si>
    <t>RWA</t>
  </si>
  <si>
    <t>Rwanda</t>
  </si>
  <si>
    <t>BIH</t>
  </si>
  <si>
    <t>Bosnia and Herzegovina</t>
  </si>
  <si>
    <t>AUS</t>
  </si>
  <si>
    <t>Australia</t>
  </si>
  <si>
    <t>BOL</t>
  </si>
  <si>
    <t>Bolivia</t>
  </si>
  <si>
    <t>CMR</t>
  </si>
  <si>
    <t>Cameroon</t>
  </si>
  <si>
    <t>RUS</t>
  </si>
  <si>
    <t>Russian Federation</t>
  </si>
  <si>
    <t>ISR</t>
  </si>
  <si>
    <t>Israel</t>
  </si>
  <si>
    <t>USA</t>
  </si>
  <si>
    <t>United States</t>
  </si>
  <si>
    <t>EST</t>
  </si>
  <si>
    <t>Estonia</t>
  </si>
  <si>
    <t>HRV</t>
  </si>
  <si>
    <t>Croatia</t>
  </si>
  <si>
    <t>LVA</t>
  </si>
  <si>
    <t>Latvia</t>
  </si>
  <si>
    <t>SVK</t>
  </si>
  <si>
    <t>Slovak Republic</t>
  </si>
  <si>
    <t>MDA</t>
  </si>
  <si>
    <t>Moldova</t>
  </si>
  <si>
    <t>ISL</t>
  </si>
  <si>
    <t>Iceland</t>
  </si>
  <si>
    <t>URY</t>
  </si>
  <si>
    <t>Uruguay</t>
  </si>
  <si>
    <t>LUX</t>
  </si>
  <si>
    <t>Luxembourg</t>
  </si>
  <si>
    <t>BLR</t>
  </si>
  <si>
    <t>Belarus</t>
  </si>
  <si>
    <t>LTU</t>
  </si>
  <si>
    <t>Lithuania</t>
  </si>
  <si>
    <t>MLT</t>
  </si>
  <si>
    <t>Malta</t>
  </si>
  <si>
    <t>KGZ</t>
  </si>
  <si>
    <t>Kyrgyz Republic</t>
  </si>
  <si>
    <t>CUB</t>
  </si>
  <si>
    <t>Cuba</t>
  </si>
  <si>
    <t>CRI</t>
  </si>
  <si>
    <t>Costa Rica</t>
  </si>
  <si>
    <t>AZE</t>
  </si>
  <si>
    <t>Azerbaijan</t>
  </si>
  <si>
    <t>ARM</t>
  </si>
  <si>
    <t>Armenia</t>
  </si>
  <si>
    <t>FJI</t>
  </si>
  <si>
    <t>Fiji</t>
  </si>
  <si>
    <t>TUN</t>
  </si>
  <si>
    <t>Tunisia</t>
  </si>
  <si>
    <t>MKD</t>
  </si>
  <si>
    <t>North Macedonia</t>
  </si>
  <si>
    <t>BTN</t>
  </si>
  <si>
    <t>Bhutan</t>
  </si>
  <si>
    <t>DOM</t>
  </si>
  <si>
    <t>Dominican Republic</t>
  </si>
  <si>
    <t>SGP</t>
  </si>
  <si>
    <t>Singapore</t>
  </si>
  <si>
    <t>MNE</t>
  </si>
  <si>
    <t>Montenegro</t>
  </si>
  <si>
    <t>MDV</t>
  </si>
  <si>
    <t>Maldives</t>
  </si>
  <si>
    <t>UZB</t>
  </si>
  <si>
    <t>Uzbekistan</t>
  </si>
  <si>
    <t>SLV</t>
  </si>
  <si>
    <t>El Salvador</t>
  </si>
  <si>
    <t>JOR</t>
  </si>
  <si>
    <t>Jordan</t>
  </si>
  <si>
    <t>ARE</t>
  </si>
  <si>
    <t>United Arab Emirates</t>
  </si>
  <si>
    <t>LKA</t>
  </si>
  <si>
    <t>Sri Lanka</t>
  </si>
  <si>
    <t>TJK</t>
  </si>
  <si>
    <t>Tajikistan</t>
  </si>
  <si>
    <t>IRN</t>
  </si>
  <si>
    <t>Iran, Islamic Rep.</t>
  </si>
  <si>
    <t>PRY</t>
  </si>
  <si>
    <t>Paraguay</t>
  </si>
  <si>
    <t>CPV</t>
  </si>
  <si>
    <t>Cabo Verde</t>
  </si>
  <si>
    <t>OMN</t>
  </si>
  <si>
    <t>Oman</t>
  </si>
  <si>
    <t>TKM</t>
  </si>
  <si>
    <t>Turkmenistan</t>
  </si>
  <si>
    <t>SUR</t>
  </si>
  <si>
    <t>Suriname</t>
  </si>
  <si>
    <t>MUS</t>
  </si>
  <si>
    <t>Mauritius</t>
  </si>
  <si>
    <t>LBN</t>
  </si>
  <si>
    <t>Lebanon</t>
  </si>
  <si>
    <t>GUY</t>
  </si>
  <si>
    <t>Guyana</t>
  </si>
  <si>
    <t>PAN</t>
  </si>
  <si>
    <t>Panama</t>
  </si>
  <si>
    <t>NPL</t>
  </si>
  <si>
    <t>Nepal</t>
  </si>
  <si>
    <t>QAT</t>
  </si>
  <si>
    <t>Qatar</t>
  </si>
  <si>
    <t>BRN</t>
  </si>
  <si>
    <t>Brunei Darussalam</t>
  </si>
  <si>
    <t>KHM</t>
  </si>
  <si>
    <t>Cambodia</t>
  </si>
  <si>
    <t>NIC</t>
  </si>
  <si>
    <t>Nicaragua</t>
  </si>
  <si>
    <t>IRQ</t>
  </si>
  <si>
    <t>Iraq</t>
  </si>
  <si>
    <t>MNG</t>
  </si>
  <si>
    <t>Mongolia</t>
  </si>
  <si>
    <t>BLZ</t>
  </si>
  <si>
    <t>Belize</t>
  </si>
  <si>
    <t>KWT</t>
  </si>
  <si>
    <t>Kuwait</t>
  </si>
  <si>
    <t>NAM</t>
  </si>
  <si>
    <t>Namibia</t>
  </si>
  <si>
    <t>BHR</t>
  </si>
  <si>
    <t>Bahrain</t>
  </si>
  <si>
    <t>GAB</t>
  </si>
  <si>
    <t>Gabon</t>
  </si>
  <si>
    <t>TTO</t>
  </si>
  <si>
    <t>Trinidad and Tobago</t>
  </si>
  <si>
    <t>LAO</t>
  </si>
  <si>
    <t>Lao PDR</t>
  </si>
  <si>
    <t>HND</t>
  </si>
  <si>
    <t>Honduras</t>
  </si>
  <si>
    <t>VEN</t>
  </si>
  <si>
    <t>Venezuela, RB</t>
  </si>
  <si>
    <t>BWA</t>
  </si>
  <si>
    <t>Botswana</t>
  </si>
  <si>
    <t>STP</t>
  </si>
  <si>
    <t>Sao Tome and Principe</t>
  </si>
  <si>
    <t>CIV</t>
  </si>
  <si>
    <t>Cote d'Ivoire</t>
  </si>
  <si>
    <t>BHS</t>
  </si>
  <si>
    <t>Bahamas, The</t>
  </si>
  <si>
    <t>MMR</t>
  </si>
  <si>
    <t>Myanmar</t>
  </si>
  <si>
    <t>GTM</t>
  </si>
  <si>
    <t>Guatemala</t>
  </si>
  <si>
    <t>GMB</t>
  </si>
  <si>
    <t>Gambia, The</t>
  </si>
  <si>
    <t>SYR</t>
  </si>
  <si>
    <t>Syrian Arab Republic</t>
  </si>
  <si>
    <t>MLI</t>
  </si>
  <si>
    <t>Mali</t>
  </si>
  <si>
    <t>SWZ</t>
  </si>
  <si>
    <t>Eswatini</t>
  </si>
  <si>
    <t>MRT</t>
  </si>
  <si>
    <t>Mauritania</t>
  </si>
  <si>
    <t>TZA</t>
  </si>
  <si>
    <t>Tanzania</t>
  </si>
  <si>
    <t>MWI</t>
  </si>
  <si>
    <t>Malawi</t>
  </si>
  <si>
    <t>TGO</t>
  </si>
  <si>
    <t>Togo</t>
  </si>
  <si>
    <t>SLE</t>
  </si>
  <si>
    <t>Sierra Leone</t>
  </si>
  <si>
    <t>ZWE</t>
  </si>
  <si>
    <t>Zimbabwe</t>
  </si>
  <si>
    <t>GIN</t>
  </si>
  <si>
    <t>Guinea</t>
  </si>
  <si>
    <t>LSO</t>
  </si>
  <si>
    <t>Lesotho</t>
  </si>
  <si>
    <t>ZMB</t>
  </si>
  <si>
    <t>Zambia</t>
  </si>
  <si>
    <t>BDI</t>
  </si>
  <si>
    <t>Burundi</t>
  </si>
  <si>
    <t>PNG</t>
  </si>
  <si>
    <t>Papua New Guinea</t>
  </si>
  <si>
    <t>MOZ</t>
  </si>
  <si>
    <t>Mozambique</t>
  </si>
  <si>
    <t>DJI</t>
  </si>
  <si>
    <t>Djibouti</t>
  </si>
  <si>
    <t>COG</t>
  </si>
  <si>
    <t>Congo, Rep.</t>
  </si>
  <si>
    <t>HTI</t>
  </si>
  <si>
    <t>Haiti</t>
  </si>
  <si>
    <t>BFA</t>
  </si>
  <si>
    <t>Burkina Faso</t>
  </si>
  <si>
    <t>COM</t>
  </si>
  <si>
    <t>Comoros</t>
  </si>
  <si>
    <t>AGO</t>
  </si>
  <si>
    <t>Angola</t>
  </si>
  <si>
    <t>MDG</t>
  </si>
  <si>
    <t>Madagascar</t>
  </si>
  <si>
    <t>LBR</t>
  </si>
  <si>
    <t>Liberia</t>
  </si>
  <si>
    <t>AFG</t>
  </si>
  <si>
    <t>Afghanistan</t>
  </si>
  <si>
    <t>SDN</t>
  </si>
  <si>
    <t>Sudan</t>
  </si>
  <si>
    <t>NER</t>
  </si>
  <si>
    <t>Niger</t>
  </si>
  <si>
    <t>SOM</t>
  </si>
  <si>
    <t>Somalia</t>
  </si>
  <si>
    <t>YEM</t>
  </si>
  <si>
    <t>Yemen, Rep.</t>
  </si>
  <si>
    <t>TCD</t>
  </si>
  <si>
    <t>Chad</t>
  </si>
  <si>
    <t>CAF</t>
  </si>
  <si>
    <t>Central African Republic</t>
  </si>
  <si>
    <t>SSD</t>
  </si>
  <si>
    <t>South Sudan</t>
  </si>
  <si>
    <t>AND</t>
  </si>
  <si>
    <t>Andorra</t>
  </si>
  <si>
    <t>ATG</t>
  </si>
  <si>
    <t>Antigua and Barbuda</t>
  </si>
  <si>
    <t>DMA</t>
  </si>
  <si>
    <t>Dominica</t>
  </si>
  <si>
    <t>ERI</t>
  </si>
  <si>
    <t>Eritrea</t>
  </si>
  <si>
    <t>FSM</t>
  </si>
  <si>
    <t>Micronesia, Fed. Sts.</t>
  </si>
  <si>
    <t>GNB</t>
  </si>
  <si>
    <t>Guinea-Bissau</t>
  </si>
  <si>
    <t>GNQ</t>
  </si>
  <si>
    <t>Equatorial Guinea</t>
  </si>
  <si>
    <t>GRD</t>
  </si>
  <si>
    <t>Grenada</t>
  </si>
  <si>
    <t>KIR</t>
  </si>
  <si>
    <t>Kiribati</t>
  </si>
  <si>
    <t>KNA</t>
  </si>
  <si>
    <t>St. Kitts and Nevis</t>
  </si>
  <si>
    <t>LBY</t>
  </si>
  <si>
    <t>Libya</t>
  </si>
  <si>
    <t>LCA</t>
  </si>
  <si>
    <t>St. Lucia</t>
  </si>
  <si>
    <t>LIE</t>
  </si>
  <si>
    <t>Liechtenstein</t>
  </si>
  <si>
    <t>MCO</t>
  </si>
  <si>
    <t>Monaco</t>
  </si>
  <si>
    <t>MHL</t>
  </si>
  <si>
    <t>Marshall Islands</t>
  </si>
  <si>
    <t>NRU</t>
  </si>
  <si>
    <t>Nauru</t>
  </si>
  <si>
    <t>PLW</t>
  </si>
  <si>
    <t>Palau</t>
  </si>
  <si>
    <t>PRK</t>
  </si>
  <si>
    <t>Korea, Dem. Rep.</t>
  </si>
  <si>
    <t>SLB</t>
  </si>
  <si>
    <t>Solomon Islands</t>
  </si>
  <si>
    <t>SMR</t>
  </si>
  <si>
    <t>San Marino</t>
  </si>
  <si>
    <t>TLS</t>
  </si>
  <si>
    <t>Timor-Leste</t>
  </si>
  <si>
    <t>TON</t>
  </si>
  <si>
    <t>Tonga</t>
  </si>
  <si>
    <t>TUV</t>
  </si>
  <si>
    <t>Tuvalu</t>
  </si>
  <si>
    <t>VCT</t>
  </si>
  <si>
    <t>St. Vincent and the Grenadines</t>
  </si>
  <si>
    <t>VUT</t>
  </si>
  <si>
    <t>Vanuatu</t>
  </si>
  <si>
    <t>https://um.fi/goals-and-principles-of-finland-s-development-policy</t>
  </si>
  <si>
    <t>Y</t>
  </si>
  <si>
    <t>https://www.government.se/contentassets/52ae212bd7964d9d9ed10f329226f92d/swedens-national-reform-programme-2022.pdf</t>
  </si>
  <si>
    <t>https://www.indonesia-investments.com/projects/government-development-plans/national-medium-term-development-plan-rpjmn-2010-2014/item307</t>
  </si>
  <si>
    <t>https://www.pkc.gov.lv/en/national-development-planning</t>
  </si>
  <si>
    <t>http://timor-leste.gov.tl/wp-content/uploads/2011/07/Timor-Leste-Strategic-Plan-2011-20301.pdf</t>
  </si>
  <si>
    <t>https://www.gov.uk/government/publications/build-back-better-our-plan-for-growth/build-back-better-our-plan-for-growth-html</t>
  </si>
  <si>
    <t>webversion</t>
  </si>
  <si>
    <t>https://sdgs.un.org/topics/national-sustainable-development-strategies#publications</t>
  </si>
  <si>
    <t>https://sdgs.un.org/publications/policy-brief-accelerating-2030-agenda-integration-aligning-national-development-plans</t>
  </si>
  <si>
    <t>https://www.google.com/url?sa=t&amp;rct=j&amp;q=&amp;esrc=s&amp;source=web&amp;cd=&amp;ved=2ahUKEwi1vLeN5K2EAxX7WEEAHV_QDH8QFnoECDEQAQ&amp;url=https%3A%2F%2Fassets.gov.ie%2F200358%2Fa36dd274-736c-4d04-8879-b158e8b95029.pdf&amp;usg=AOvVaw1TZxsyMgbeD0GDiaduxhKd&amp;opi=89978449</t>
  </si>
  <si>
    <t>https://www.gov.za/sites/default/files/gcis_document/201409/ndp-2030-our-future-make-it-workr.pdf</t>
  </si>
  <si>
    <t>https://observatorioplanificacion.cepal.org/sites/default/files/plan/files/Programa%20de%20Gobierno%20Gustavo%20Petro_.pdf</t>
  </si>
  <si>
    <t>tr-Spanish</t>
  </si>
  <si>
    <t>https://observatorioplanificacion.cepal.org/sites/default/files/plan/files/PNDIP%202023-2026%20Main.pdf</t>
  </si>
  <si>
    <t>tr-Bahasa</t>
  </si>
  <si>
    <t>https://observatorioplanificacion.cepal.org/sites/default/files/plan/files/PERU%20Plan%20Estratégico%20de%20Desarrollo%20Nacional%20al%202050%20-%20versión%20sin%20diagramar.pdf</t>
  </si>
  <si>
    <t>https://observatorioplanificacion.cepal.org/sites/default/files/plan/files/Guyanas-Low-Carbon-Development-Strategy-2030.pdf</t>
  </si>
  <si>
    <t>https://observatorioplanificacion.cepal.org/sites/default/files/plan/files/Plan%2Bde%2Bgobierno%2BAD%2B2022-2026%2B%282%29.pdf</t>
  </si>
  <si>
    <t>https://observatorioplanificacion.cepal.org/sites/default/files/plan/files/PLAN-DE-GOBIERNO-XIOMARA-CASTRO_0.pdf</t>
  </si>
  <si>
    <t>https://observatorioplanificacion.cepal.org/sites/default/files/plan/files/MOP-2022-2026-Volledig-FINAL-DNA-approved-Engels.pdf</t>
  </si>
  <si>
    <t>https://observatorioplanificacion.cepal.org/sites/default/files/plan/files/Plan-de-Creación-de-Oportunidades-2021-2025-Aprobado_compressed.pdf</t>
  </si>
  <si>
    <t>https://observatorioplanificacion.cepal.org/sites/default/files/plan/files/PNCL-DH_2022-2026%2819Jul21%29_0.pdf</t>
  </si>
  <si>
    <t>https://observatorioplanificacion.cepal.org/sites/default/files/plan/files/Medium-Term-Socio-Economic-Policy-Framework-MTF-2021-2024.pdf</t>
  </si>
  <si>
    <t>https://observatorioplanificacion.cepal.org/sites/default/files/plan/files/PNPSP-Plan%20Nacional%20Plurianual%20del%20Sector%20Público.pdf</t>
  </si>
  <si>
    <t>https://observatorioplanificacion.cepal.org/sites/default/files/plan/files/PDES_2021-2025a_compressed_0.pdf</t>
  </si>
  <si>
    <t>https://observatorioplanificacion.cepal.org/en/plans?page=1</t>
  </si>
  <si>
    <t>https://observatorioplanificacion.cepal.org/sites/default/files/plan/files/efd-2020-2031_v2_1.pdf</t>
  </si>
  <si>
    <t>tr-Portuguese</t>
  </si>
  <si>
    <t>https://observatorioplanificacion.cepal.org/sites/default/files/plan/files/GRANADA-NSDP20202035.pdf</t>
  </si>
  <si>
    <t>https://observatorioplanificacion.cepal.org/sites/default/files/plan/files/PEG%202020-2024%20Panamá.pdf</t>
  </si>
  <si>
    <t>https://observatorioplanificacion.cepal.org/sites/default/files/plan/files/FOLLETO%20PNDES%20%20FINAL%20está%20en%20planificación_0.pdf</t>
  </si>
  <si>
    <t>https://observatorioplanificacion.cepal.org/sites/default/files/plan/files/Plan%20Nacional%20de%20Desarrollo%20de%20México.pdf</t>
  </si>
  <si>
    <t>https://observatorioplanificacion.cepal.org/sites/default/files/plan/files/Venezuela_Plan%20de%20la%20Patria%202019-2025%20%282019%29.pdf</t>
  </si>
  <si>
    <t>https://observatorioplanificacion.cepal.org/sites/default/files/plan/files/Belice%20National%20Development%20Framework%202010%202030_0.pdf</t>
  </si>
  <si>
    <t>https://observatorioplanificacion.cepal.org/sites/default/files/plan/files/Plan%20de%20desarrollo%202040.pdf</t>
  </si>
  <si>
    <t>https://observatorioplanificacion.cepal.org/sites/default/files/plan/files/Uruguay_Estrategia_Desarrollo_2050.pdf</t>
  </si>
  <si>
    <t>https://observatorioplanificacion.cepal.org/en/plans?page=3</t>
  </si>
  <si>
    <t>https://observatorioplanificacion.cepal.org/sites/default/files/plan/files/Trinidad_y_Tobago_Vision_%202030_2016_2030_tiny.pdf</t>
  </si>
  <si>
    <t>https://observatorioplanificacion.cepal.org/sites/default/files/plan/files/ArgentinaObjetivosdeGobierno.pdf</t>
  </si>
  <si>
    <t>https://observatorioplanificacion.cepal.org/sites/default/files/plan/files/ParaguayPlanNacionaldeDesarrollo2030.pdf</t>
  </si>
  <si>
    <t>tr-Spanish or Paraguay</t>
  </si>
  <si>
    <t>https://observatorioplanificacion.cepal.org/sites/default/files/plan/files/ELSAL.pdf</t>
  </si>
  <si>
    <t>https://observatorioplanificacion.cepal.org/en/plans?page=4</t>
  </si>
  <si>
    <t>https://observatorioplanificacion.cepal.org/sites/default/files/plan/files/SanVicenteylasgranadinascompleto.pdf</t>
  </si>
  <si>
    <t>https://observatorioplanificacion.cepal.org/sites/default/files/plan/files/Haiti_PLAN_STRATÉGIQUE_de_developpement.pdf</t>
  </si>
  <si>
    <t>tr_Haitian or France</t>
  </si>
  <si>
    <t>https://observatorioplanificacion.cepal.org/sites/default/files/plan/files/SaintKittsandNevisNationalAdaptationStrategy2006-2017.pdf</t>
  </si>
  <si>
    <t>https://www.npc.gov.na/wp-content/uploads/2021/11/NDP5.pdf</t>
  </si>
  <si>
    <t>https://thinkpacific.com/app/uploads/2020/06/Fijian-Government-National-Development-Plan-min.pdf</t>
  </si>
  <si>
    <t>https://www.scpd.gov.kw/archive/برنامج%20عمل%20حكومة%20دولة%20الكويت%202022-2026.pdf</t>
  </si>
  <si>
    <t>tr-Arabic</t>
  </si>
  <si>
    <t>https://andp.unescwa.org/sites/default/files/2020-09/Plan%20d%27Action%20du%20Gouvernement%20pour%20la%20Mise%20en%20Œuvre%20du%20Programme%20du%20President%20de%20la%20Republique%202017.pdf</t>
  </si>
  <si>
    <t>tr-French</t>
  </si>
  <si>
    <t>https://andp.unescwa.org/sites/default/files/2020-09/Government%20Action%20Plan%202019-2022.pdf</t>
  </si>
  <si>
    <t>https://andp.unescwa.org/sites/default/files/2020-09/Sustainable%20Development%20Strategy%20%28SDS%29%20-%20Egypt%20Vision%202030.pdf</t>
  </si>
  <si>
    <t>https://andp.unescwa.org/sites/default/files/2020-09/Jordan%202025%20A%20National%20Vision%20and%20Strategy.pdf</t>
  </si>
  <si>
    <t>https://andp.unescwa.org/sites/default/files/2020-10/Lebanon%20Economic%20Vision.pdf</t>
  </si>
  <si>
    <t>https://andp.unescwa.org/sites/default/files/2021-11/IhyaLibya_english_2030.pdf</t>
  </si>
  <si>
    <t>https://andp.unescwa.org/sites/default/files/2020-10/Stratégie%20de%20Croissance%20Accélérée%20et%20de%20Prospérité%20Partagée%20%28SCAPP%202016-2030%29.pdf</t>
  </si>
  <si>
    <t>https://andp.unescwa.org/sites/default/files/2020-10/Statégie%20Nationale%20de%20Développement%20Durable%202030.pdf</t>
  </si>
  <si>
    <t>https://andp.unescwa.org/sites/default/files/2020-10/Vision%20Oman%202040.pdf</t>
  </si>
  <si>
    <t>https://andp.unescwa.org/sites/default/files/2020-10/Qatar%20National%20Vision%202030.pdf</t>
  </si>
  <si>
    <t>https://andp.unescwa.org/sites/default/files/2020-10/Saudi%20Vision%202030.pdf</t>
  </si>
  <si>
    <t>https://andp.unescwa.org/sites/default/files/2020-10/Somalia%20National%20Development%20Plan%202020%20to%202024.pdf</t>
  </si>
  <si>
    <t>https://andp.unescwa.org/sites/default/files/2020-10/The%20Twenty-Five-Year%20National%20Strategy%20%28Vision%202031%29.pdf</t>
  </si>
  <si>
    <t>https://andp.unescwa.org/sites/default/files/2021-11/Syria_2020.pdf</t>
  </si>
  <si>
    <t>https://andp.unescwa.org/sites/default/files/2020-10/Development%20Plan%202016-2020%20First%20volume%20Wholesale%20content.pdf</t>
  </si>
  <si>
    <t>tr-Arabic, tr-French</t>
  </si>
  <si>
    <t>https://andp.unescwa.org/sites/default/files/2020-10/UAE%20Vision%202021%20-%20United%20in%20Ambition%20and%20Determination.pdf</t>
  </si>
  <si>
    <t>https://andp.unescwa.org/sites/default/files/2020-10/Yemen%20Strategic%20Vision%202025.pdf</t>
  </si>
  <si>
    <t>https://andp.unescwa.org/sites/default/files/2021-05/The%20future%20we%20want-Iraq%20vision%20for%20Sustainable%20Development%202030.pdf</t>
  </si>
  <si>
    <t>https://extranet.who.int/nutrition/gina/sites/default/filesstore/TCD%202017%20National%20Development%20Plan_0.pdf</t>
  </si>
  <si>
    <t>https://www.sh.gov.zm/wp-content/uploads/2022/09/EIGHTH-NATIONAL-DEVELOPMENT-PLAN-2022-2026-05-07-2022.pdf</t>
  </si>
  <si>
    <t>https://www.gouv.bj/article/199/le-benin-lance-son-ambitieux-plan-national-de-developpement-pnd/</t>
  </si>
  <si>
    <t>https://solomons.gov.sb/wp-content/uploads/2020/02/National-Development-Strategy-2016.pdf</t>
  </si>
  <si>
    <t>https://cambodiancorner.files.wordpress.com/2021/02/nsdp-2019-2023_en.pdf</t>
  </si>
  <si>
    <t>https://www.gov.ls/wp-content/uploads/2021/06/National-Strategic-Development-Plan-II-2018-19-2022-23.pdf</t>
  </si>
  <si>
    <t>https://www.gbosdata.org/downloads/44-policy-and-strategic-documents</t>
  </si>
  <si>
    <t>https://www.mlit.go.jp/kokudokeikaku/zs5-e/index.html</t>
  </si>
  <si>
    <t>http://onsp.minsante.cm/sites/default/files/publications/262/NDS30_National%20Development%20Strategy%202020-2030.pdf</t>
  </si>
  <si>
    <t>https://nafaka.tj/images/zakoni/new/strategiya_2030_en.pdf</t>
  </si>
  <si>
    <t>https://www.sprep.org/att/IRC/eCOPIES/Countries/Tonga/62.pdf</t>
  </si>
  <si>
    <t>https://pulse.icdm.com.my/wp-content/uploads/2021/09/Twelfth-Plan-Document_compressed-1.pdf</t>
  </si>
  <si>
    <t>https://faolex.fao.org/docs/pdf/bot175398.pdf</t>
  </si>
  <si>
    <t>https://faolex.fao.org/docs/pdf/uga199743.pdf</t>
  </si>
  <si>
    <t>https://nationalplanning.gov.ng/wp-content/uploads/2021/12/NDP-2021-2025_AA_FINAL_PRINTING.pdf</t>
  </si>
  <si>
    <t>https://www.akorda.kz/en/addresses/addresses_of_president/address-by-the-president-of-the-republic-of-kazakhstan-leader-of-the-nation-nnazarbayev-strategy-kazakhstan-2050-new-political-course-of-the-established-state</t>
  </si>
  <si>
    <t>https://www.nesdc.go.th/article_attach/article_file_20230615134223.pdf</t>
  </si>
  <si>
    <t>http://donors.kg/en/strategy/5174-national-development-strategy-of-the-kyrgyz-republic-for-2018-2040</t>
  </si>
  <si>
    <t>https://www.pc.gov.pk/uploads/vision2025/Pakistan-Vision-2025.pdf</t>
  </si>
  <si>
    <t>https://www.veritaszim.net/sites/veritas_d/files/NDS.pdf</t>
  </si>
  <si>
    <t>https://www.greenpolicyplatform.org/sites/default/files/downloads/policy-database//CONGO%29%202009-2016%20National%20Development%20Plan.pdf</t>
  </si>
  <si>
    <t>https://policy.asiapacificenergy.org/sites/default/files/Development%20Strategic%20Plan%202010-2030.pdf</t>
  </si>
  <si>
    <t>https://www.tro.go.tz/wp-content/uploads/2021/06/FYDP-III-English.pdf</t>
  </si>
  <si>
    <t>http://www.finance.gov.sc/uploads/files/Seychelles_National_Development_Strategy_2019_2023_new.pdf</t>
  </si>
  <si>
    <t>https://mofep.gov.gh/sites/default/files/pbb-estimates/2022/2022-PBB-NDPC.pdf</t>
  </si>
  <si>
    <t>https://home.treasury.gov/system/files/136/TreasuryStrategicPlan-FY2022-2026-2023-update.pdf</t>
  </si>
  <si>
    <t>https://faolex.fao.org/docs/pdf/mdv195983.pdf</t>
  </si>
  <si>
    <t>https://www.imf.md/press/SND_MD2030_25_Jun_eng.pdf</t>
  </si>
  <si>
    <t>https://www.imf.org/en/Publications/CR/Issues/2019/07/09/Sierra-Leone-Economic-Development-Documents-National-Development-Plan-2019-23-47099</t>
  </si>
  <si>
    <t>https://www.phcc.gov.ph/wp-content/uploads/2021/02/PDP-2023-2028.pdf</t>
  </si>
  <si>
    <t>https://deps.mofe.gov.bn/DEPD%20Documents%20Library/NDP/NDP11_Eng.pdf</t>
  </si>
  <si>
    <t>many</t>
  </si>
  <si>
    <t xml:space="preserve">Climate </t>
  </si>
  <si>
    <t>Women</t>
  </si>
  <si>
    <t>Human Right</t>
  </si>
  <si>
    <t>Agriculture / CAP</t>
  </si>
  <si>
    <t>Tourism</t>
  </si>
  <si>
    <t>Digital</t>
  </si>
  <si>
    <t>Open Government</t>
  </si>
  <si>
    <t>Integrated / Development Cooperation / Joint</t>
  </si>
  <si>
    <t>Disability</t>
  </si>
  <si>
    <t>Nutrition</t>
  </si>
  <si>
    <t>Economy</t>
  </si>
  <si>
    <t>Recovery and Resilience Plan</t>
  </si>
  <si>
    <t>https://commission.europa.eu/system/files/2022-05/denmarks_national_reform_programme_2022_en.pdf</t>
  </si>
  <si>
    <t>https://www.mase.gov.it/sites/default/files/archivio/allegati/sviluppo_sostenibile/Italy_in_a_glance_VNR.pdf</t>
  </si>
  <si>
    <t>https://portugal2030.pt/en/portugal-2030/o-que-e-o-portugal-2030/</t>
  </si>
  <si>
    <t>https://futuros.gob.es/sites/default/files/esp2050/pdf/en/Spain_2050.pdf</t>
  </si>
  <si>
    <t>https://www.bundesregierung.de/resource/blob/975226/455740/260a9307085b9c7ef7543672f2147fe8/2017-06-20-langfassung-n-en-data.pdf?download=1</t>
  </si>
  <si>
    <t>https://www.duurzameontwikkeling.be/sites/default/files/document/files/fpdo_2021_nl.pdf</t>
  </si>
  <si>
    <t>tr-NL</t>
  </si>
  <si>
    <t>SDGs</t>
  </si>
  <si>
    <t>https://www.canada.ca/content/dam/esdc-edsc/documents/programs/agenda-2030/ESDC-PUB-050-2030Agenda-EN-v9.pdf</t>
  </si>
  <si>
    <t>https://www.mindev.gov.gr/wp-content/uploads/2018/09/Growth-Strategy.pdf</t>
  </si>
  <si>
    <t>https://www.gov.si/assets/ministrstva/MKRR/Strategija-razvoja-Slovenije-2030/Slovenian-Development-Strategy-2030.pdf</t>
  </si>
  <si>
    <t>http://www.ecompet.cy/ecompet/ecompet.nsf/ADDDDC20CC4A217DC225885D0038D976/$file/Development%20of%20a%20long-term%20economic%20strategy.pdf</t>
  </si>
  <si>
    <t>https://vlada.gov.cz/assets/ppov/udrzitelny-rozvoj/projekt-OPZ/Strategic_Framework_CZ2030.pdf</t>
  </si>
  <si>
    <t>https://faolex.fao.org/docs/pdf/rom195029.pdf</t>
  </si>
  <si>
    <t>https://faolex.fao.org/docs/pdf/Sen188171.pdf</t>
  </si>
  <si>
    <t>NRRP</t>
  </si>
  <si>
    <t>https://www.planning.go.ke/kenya-vision-2030/</t>
  </si>
  <si>
    <t>https://www.adb.org/sites/default/files/linked-documents/cps-geo-2014-2018-sd-01.pdf</t>
  </si>
  <si>
    <t>https://www.mof.gov.ws/wp-content/uploads/2022/02/Pathway-for-the-Development-of-Samoa.pdf</t>
  </si>
  <si>
    <t>https://www.gov.pl/web/funds-regional-policy/what-is-the-national-development-concept-2050#:~:text=The%20National%20Development%20Concept%202050%20is%20a%20long%2Dterm%20visionary,Poland%20faces%20and%20will%20face</t>
  </si>
  <si>
    <t>https://www.mtc.government.bg/sites/default/files/nationaldevelopmentprogrammebulgaria2030-en.pdf</t>
  </si>
  <si>
    <t>https://en.unesco.org/creativity/sites/creativity/files/qpr/11_th_development_plan_of_turkey.pdf</t>
  </si>
  <si>
    <t>http://oldweb.lged.gov.bd/uploadeddocument/unitpublication/1/1049/vision%202021-2041.pdf</t>
  </si>
  <si>
    <t>https://www.gov.cn/xinwen/2021-03/13/content_5592681.htm</t>
  </si>
  <si>
    <t>tr-Chinese</t>
  </si>
  <si>
    <t>https://rsjp.gov.rs/wp-content/uploads/Serbia-and-2030-Agenda_November-2021.pdf</t>
  </si>
  <si>
    <t>https://www.standards.govt.nz/assets/documents/about/strategic-plan-report-pdf.pdf</t>
  </si>
  <si>
    <t>https://faolex.fao.org/docs/pdf/kor203848.pdf</t>
  </si>
  <si>
    <t>https://sdgtoolkit.org/wp-content/uploads/2017/02/National-Framework-Strategy-on-Sustainable-Development-of-Hungary.pdf</t>
  </si>
  <si>
    <t>sdgtoolkit</t>
  </si>
  <si>
    <t>https://fileportalcms.mpi.gov.vn/FileDinhKem/1/VN2035English.pdf</t>
  </si>
  <si>
    <t>https://www.ircwash.org/sites/default/files/ten_year_development_plan_a_pathway_to_prosperity.2021-2030_version.pdf</t>
  </si>
  <si>
    <t>https://www.undp.org/fr/drcongo/publications/plan-national-stratégique-de-développement</t>
  </si>
  <si>
    <t>https://kryeministria.al/wp-content/uploads/2021/10/Government-Program-2021-2025.pdf</t>
  </si>
  <si>
    <t>https://www.undp.org/ukraine/publications/sustainable-development-strategy-ukraine-2030</t>
  </si>
  <si>
    <t>https://www.niti.gov.in/sites/default/files/2023-08/12fyp_vol1.pdf</t>
  </si>
  <si>
    <t>https://www.effectivecooperation.org/system/files/2022-02/National_Strategy_For_Trsansformation_-NST1-min.pdf</t>
  </si>
  <si>
    <t>https://faolex.fao.org/docs/pdf/bih208358.pdf</t>
  </si>
  <si>
    <t>tr-Bosnian</t>
  </si>
  <si>
    <t>many, economy</t>
  </si>
  <si>
    <t>https://www.austrade.gov.au/en/news-and-analysis/publications-and-reports/thrive-2030-strategy-implementation-update-november-2023</t>
  </si>
  <si>
    <t>https://action4sd.org/wp-content/uploads/2020/09/Russia-VNR-report-2020.pdf</t>
  </si>
  <si>
    <t>SDG</t>
  </si>
  <si>
    <t>https://www.neaman.org.il/EN/Israel-2028-Vision-Strategy-Economy-Society-Global-World</t>
  </si>
  <si>
    <t>tr-Hebrew</t>
  </si>
  <si>
    <t>https://www.google.com/url?sa=t&amp;rct=j&amp;q=&amp;esrc=s&amp;source=web&amp;cd=&amp;ved=2ahUKEwiT-7u_8rWEAxUSi_0HHcRqB7UQFnoECA0QAw&amp;url=https%3A%2F%2Fvalitsus.ee%2Fru%2Fmedia%2F3926%2Fdownload%23%3A~%3Atext%3DThe%2520%25E2%2580%259CEstonia%25202035%25E2%2580%259D%2520strategy%2520sets%2Calmost%252017%252C000%2520people%2520have%2520contributed).&amp;usg=AOvVaw1z9yec3nFavpF6vn4_ME2c&amp;opi=89978449</t>
  </si>
  <si>
    <t>https://hrvatska2030.hr</t>
  </si>
  <si>
    <t>http://socisdg.com/media/1363/becker-1422019-eng.pdf</t>
  </si>
  <si>
    <t>https://www.government.is/media/umhverfisraduneyti-media/media/PDF_skrar/Sjalfbar__roun_enska.pdf</t>
  </si>
  <si>
    <t>SD</t>
  </si>
  <si>
    <t>https://cooperation.gouvernement.lu/content/dam/gouv_cooperation/publications/stratégies/strategie-generale/Stratégie-MAEE-EN.pdf</t>
  </si>
  <si>
    <t>https://economy.gov.by/uploads/files/ObsugdaemNPA/Kontseptsija-na-sajt.pdf</t>
  </si>
  <si>
    <t>tr-Belarus</t>
  </si>
  <si>
    <t>https://lrv.lt/uploads/main/documents/files/EN_version/Useful_information/lithuania2030.pdf</t>
  </si>
  <si>
    <t>https://meae.gov.mt/en/Public_Consultations/MEW/Documents/Malta%27s%20Sustainable%20Development%20Strategy%20for%202050.pdf</t>
  </si>
  <si>
    <t>https://static.president.az/upload/Files/2022/07/22/5478ed13955fb35f0715325d7f76a8ea_3699216.pdf</t>
  </si>
  <si>
    <t>tr-Azerbaijani</t>
  </si>
  <si>
    <t>https://faolex.fao.org/docs/pdf/arm151333.pdf</t>
  </si>
  <si>
    <t>tr-Armenian</t>
  </si>
  <si>
    <t>good data</t>
  </si>
  <si>
    <t>https://vlada.mk/sites/default/files/programa/2022-2024/programme_of_the_government_2022-2024.pdf</t>
  </si>
  <si>
    <t>https://policy.asiapacificenergy.org/node/3544</t>
  </si>
  <si>
    <t>https://www.mnd.gov.sg/MND_Handbook/MND_English/files/assets/common/downloads/publication.pdf</t>
  </si>
  <si>
    <t>https://cdn.climatepolicyradar.org/navigator/MNE/2007/national-strategy-for-sustainable-development-to-2030_0280dd5375ec551a66b2ea471f3fe558.pdf</t>
  </si>
  <si>
    <t>tr-Montenegrin</t>
  </si>
  <si>
    <t>https://uzembassy.kz/upload/userfiles/files/Development%20Strategy%20of%20Uzbekistan.pdf</t>
  </si>
  <si>
    <t>https://www.presidentsoffice.gov.lk/wp-content/uploads/2019/05/Final-v2.4-Typeset-MM-v12F-Cov3.pdf</t>
  </si>
  <si>
    <t>https://policy.asiapacificenergy.org/sites/default/files/Sixth%20Five-Year%20Development%20Plan%20%282016-2021%29%20%28FA%29.pdf</t>
  </si>
  <si>
    <t>tr-Persian</t>
  </si>
  <si>
    <t>https://caboverde.un.org/sites/default/files/2020-02/PEDS%202017-2021%20-%20Versão%20Final.pdf</t>
  </si>
  <si>
    <t>https://kitaphana.net/book/2426</t>
  </si>
  <si>
    <t>tr-Turkmen</t>
  </si>
  <si>
    <t>https://npc.gov.np/images/category/15th_plan_English_Version.pdf</t>
  </si>
  <si>
    <t>https://policy.asiapacificenergy.org/sites/default/files/Mongolia%20Sustainable%20Development%20Vision%202030%20%28EN%29.pdf</t>
  </si>
  <si>
    <t>https://www.cafi.org/sites/default/files/2021-02/Gabon_2015_SM%20A_PlanStrategiqueGabonEmergent.pdf</t>
  </si>
  <si>
    <t>https://www.effectivecooperation.org/system/files/2022-02/_ENG_9th_NSEDP_Near_Final_Clean_for_Circulation_7OCT2021.v1.pdf</t>
  </si>
  <si>
    <t>https://financas.gov.st/phocadownload/Planeamento/publicacao/Plano%20Nacional%20de%20Desenvolvimento%20Sustentavel%20-%20STP%20-%202020-2024.pdf</t>
  </si>
  <si>
    <t>https://www.plan.gouv.ci/assets/fichier/RAPPORT-SYNTHESE-ENP-CI-2040-version-finale-du-10-mars-2017-1-5-.pdf</t>
  </si>
  <si>
    <t>https://www.mopf.gov.mm/sites/default/files/MSDP%20MM%203-9-18.pdf</t>
  </si>
  <si>
    <t>tr-Burmese</t>
  </si>
  <si>
    <t>https://invenio.unidep.org/invenio/record/18825?ln=en</t>
  </si>
  <si>
    <t>https://eswatini.un.org/sites/default/files/2023-10/NDP%20DRAFT%20FINAL%2016%20June%202022.pdf</t>
  </si>
  <si>
    <t>https://npc.mw/wp-content/uploads/2021/02/MW2063-VISION-FINAL.pdf</t>
  </si>
  <si>
    <t>https://faolex.fao.org/docs/pdf/tog184778ENG.pdf</t>
  </si>
  <si>
    <t>https://www.arab-digital-economy.org/2020/12.pdf</t>
  </si>
  <si>
    <t>http://www.presidence.gov.bi/wp-content/uploads/2018/08/PND-Burundi-2018-2027-Version-Finale.pdf</t>
  </si>
  <si>
    <t>https://www.mef.gov.mz/index.php/publicacoes/estrategias/397-estrategia-nacional-de-desenvolvimento/file</t>
  </si>
  <si>
    <t>https://djiboutiembassykuwait.net/assets/files/djibouti-2035-en.pdf</t>
  </si>
  <si>
    <t>https://www.effectivecooperation.org/system/files/2022-01/Strategie_Nationale_de_la_Cooperation_au_Developpement-_SNCD_-Vf_0.pdf</t>
  </si>
  <si>
    <t>https://diplomatie-comores.org/index/doc/synthese-du-plan-comores-emergent.pdf</t>
  </si>
  <si>
    <t>http://www.ucm.minfin.gov.ao/cs/groups/public/documents/document/zmlu/mdmz/~edisp/minfin033817.pdf</t>
  </si>
  <si>
    <t>https://www.mef.gov.mg/assets/vendor/ckeditor/plugins/kcfinder/upload/files/PEM.pdf</t>
  </si>
  <si>
    <t>https://mod.gov.lr/wp-content/uploads/2022/06/National-Agenda-for-Transformation-2030.pdf</t>
  </si>
  <si>
    <t>https://mof.gov.af/sites/default/files/2021-05/ANDS.pdf</t>
  </si>
  <si>
    <t>http://www.plan.gouv.ne/sddci-2035/</t>
  </si>
  <si>
    <t>https://republiquecentrafricaine.un.org/sites/default/files/2020-10/RCPCA%20doc.pdf</t>
  </si>
  <si>
    <t>https://www.undp.org/south-sudan/publications/revised-national-development-strategy-south-sudan-2021-2024</t>
  </si>
  <si>
    <t>https://faolex.fao.org/docs/pdf/and213795.pdf</t>
  </si>
  <si>
    <t>tr-Catalan</t>
  </si>
  <si>
    <t>https://finance.gov.dm/national-development-strategies/strategies/file/31-national-resilience-development-strategy-2030</t>
  </si>
  <si>
    <t>http://www.eritreabib.com/wp-content/uploads/2020/05/Booklet-Final-popular-version.pdf</t>
  </si>
  <si>
    <t>https://fsm-data.sprep.org/dataset/fsm-strategic-development-plan-2004-2023</t>
  </si>
  <si>
    <t>https://ppp.worldbank.org/public-private-partnership/sites/ppp.worldbank.org/files/2022-03/DCD-DAC-RD%282015%2915-RD2.pdf</t>
  </si>
  <si>
    <t>https://social-assistance.univen.ac.za/sites/default/files/resources/Equatrial%20Guniea_Strategic%20plan%20horizon%202020_NY.pdf</t>
  </si>
  <si>
    <t>http://president.gov.ki/images/kiribati-20-year-vision-2016-2036•sept.final.pdf</t>
  </si>
  <si>
    <t>https://www.regierung.li/files/attachments/Financial-Centre-Strategy-for-Liechtenstein.pdf?t=637704933700324636</t>
  </si>
  <si>
    <t>https://extendedmonaco.com/wp-content/uploads/2019/10/1014_DVCO_1904152_PDF_Telechargeable_GB_SR.pdf</t>
  </si>
  <si>
    <t>https://rmi-data.sprep.org/dataset/marshall-islands-national-strategic-plan-2020-2030</t>
  </si>
  <si>
    <t>https://naurufinance.info/wp-content/uploads/2020/07/Final-NSDS-2019-2030.pdf</t>
  </si>
  <si>
    <t>https://palau-data.sprep.org/dataset/palau-national-master-development-plan</t>
  </si>
  <si>
    <t>https://australiaawardsfijiandtuvalu.org/wp-content/uploads/2021/01/Te-Kete-2021-2030-National-Development-Strategy.pdf</t>
  </si>
  <si>
    <t>https://www.gov.vu/images/publications/Vanuatu2030-EN-FINAL-sf.pdf</t>
  </si>
  <si>
    <t>xxx</t>
  </si>
  <si>
    <t>url</t>
  </si>
  <si>
    <t>lang</t>
  </si>
  <si>
    <t>availability</t>
  </si>
  <si>
    <t>en</t>
  </si>
  <si>
    <t>fr</t>
  </si>
  <si>
    <t>pt</t>
  </si>
  <si>
    <t>nl</t>
  </si>
  <si>
    <t>es</t>
  </si>
  <si>
    <t>ar</t>
  </si>
  <si>
    <t>tr</t>
  </si>
  <si>
    <t>zh</t>
  </si>
  <si>
    <t>bs</t>
  </si>
  <si>
    <t>he</t>
  </si>
  <si>
    <t>tr-Croatian</t>
  </si>
  <si>
    <t>hr</t>
  </si>
  <si>
    <t>be</t>
  </si>
  <si>
    <t>az</t>
  </si>
  <si>
    <t>hy</t>
  </si>
  <si>
    <t>cnr</t>
  </si>
  <si>
    <t>fa</t>
  </si>
  <si>
    <t>tk</t>
  </si>
  <si>
    <t>my</t>
  </si>
  <si>
    <t>ht</t>
  </si>
  <si>
    <t>ca</t>
  </si>
  <si>
    <t>filename</t>
  </si>
  <si>
    <t>country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</si>
  <si>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</si>
  <si>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</si>
  <si>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</si>
  <si>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</si>
  <si>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</si>
  <si>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</si>
  <si>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</si>
  <si>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</si>
  <si>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</si>
  <si>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</si>
  <si>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</si>
  <si>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</si>
  <si>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</si>
  <si>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</si>
  <si>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</si>
  <si>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</si>
  <si>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</si>
  <si>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</si>
  <si>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</si>
  <si>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</si>
  <si>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</si>
  <si>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</si>
  <si>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</si>
  <si>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</si>
  <si>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</si>
  <si>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</si>
  <si>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</si>
  <si>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</si>
  <si>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</si>
  <si>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</si>
  <si>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</si>
  <si>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</si>
  <si>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</si>
  <si>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</si>
  <si>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</si>
  <si>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</si>
  <si>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</si>
  <si>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</si>
  <si>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</si>
  <si>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</si>
  <si>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</si>
  <si>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</si>
  <si>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</si>
  <si>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</si>
  <si>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</si>
  <si>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</si>
  <si>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</si>
  <si>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</si>
  <si>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</si>
  <si>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</si>
  <si>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</si>
  <si>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</si>
  <si>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</si>
  <si>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</si>
  <si>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</si>
  <si>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</si>
  <si>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</si>
  <si>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</si>
  <si>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</si>
  <si>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</si>
  <si>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</si>
  <si>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</si>
  <si>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</si>
  <si>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</si>
  <si>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</si>
  <si>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</si>
  <si>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</si>
  <si>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</si>
  <si>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</si>
  <si>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</si>
  <si>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</si>
  <si>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</si>
  <si>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</si>
  <si>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</si>
  <si>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</si>
  <si>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</si>
  <si>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</si>
  <si>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</si>
  <si>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</si>
  <si>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</si>
  <si>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</si>
  <si>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</si>
  <si>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</si>
  <si>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</si>
  <si>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</si>
  <si>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</si>
  <si>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</si>
  <si>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</si>
  <si>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</si>
  <si>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</si>
  <si>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</si>
  <si>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</si>
  <si>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</si>
  <si>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</si>
  <si>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</si>
  <si>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</si>
  <si>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</si>
  <si>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</si>
  <si>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</si>
  <si>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</si>
  <si>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</si>
  <si>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</si>
  <si>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</si>
  <si>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</si>
  <si>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</si>
  <si>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</si>
  <si>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</si>
  <si>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</si>
  <si>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</si>
  <si>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</si>
  <si>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</si>
  <si>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</si>
  <si>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</si>
  <si>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</si>
  <si>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</si>
  <si>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</si>
  <si>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</si>
  <si>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</si>
  <si>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</si>
  <si>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</si>
  <si>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</si>
  <si>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</si>
  <si>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</si>
  <si>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</si>
  <si>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</si>
  <si>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</si>
  <si>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</si>
  <si>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</si>
  <si>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</si>
  <si>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</si>
  <si>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</si>
  <si>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</si>
  <si>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</si>
  <si>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</si>
  <si>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</si>
  <si>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</si>
  <si>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</si>
  <si>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</si>
  <si>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</si>
  <si>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</si>
  <si>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</si>
  <si>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</si>
  <si>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</si>
  <si>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</si>
  <si>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</si>
  <si>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</si>
  <si>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</si>
  <si>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</si>
  <si>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</si>
  <si>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</si>
  <si>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</si>
  <si>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</si>
  <si>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</si>
  <si>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</si>
  <si>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</si>
  <si>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</si>
  <si>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</si>
  <si>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</si>
  <si>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</si>
  <si>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</si>
  <si>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</si>
  <si>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</si>
  <si>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</si>
  <si>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</si>
  <si>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</si>
  <si>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</si>
  <si>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</si>
  <si>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</si>
  <si>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</si>
  <si>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</si>
  <si>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</si>
  <si>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</si>
  <si>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</si>
  <si>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</si>
  <si>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</si>
  <si>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</si>
  <si>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</si>
  <si>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</si>
  <si>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</si>
  <si>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</si>
  <si>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</si>
  <si>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</si>
  <si>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</si>
  <si>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</si>
  <si>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</si>
  <si>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</si>
  <si>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</si>
  <si>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</si>
  <si>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</si>
  <si>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</si>
  <si>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</si>
  <si>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</si>
  <si>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</si>
  <si>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</si>
  <si>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RRP</t>
  </si>
  <si>
    <t>https://open.overheid.nl/documenten/ronl-abc474ae7a39fe82e5f6f276ab663739cdb56902/pdf</t>
  </si>
  <si>
    <t>https://www.regjeringen.no/globalassets/departementene/ud/vedlegg/utvikling/sdg_rapport_full_en.pdf</t>
  </si>
  <si>
    <t>RRP, SDG</t>
  </si>
  <si>
    <t>https://commission.europa.eu/business-economy-euro/economic-recovery/recovery-and-resilience-facility/country-pages/austrias-recovery-and-resilience-plan_en#documents</t>
  </si>
  <si>
    <t>tr-Germany</t>
  </si>
  <si>
    <t>de</t>
  </si>
  <si>
    <t>https://www.tresor.economie.gouv.fr/Articles/53f6c4b5-4d49-42ba-b778-140c53b6b3f5/files/23723bb4-2c21-4fdf-9943-c6d53e95eb35</t>
  </si>
  <si>
    <t>https://reliefweb.int/report/democratic-peoples-republic-korea/dprk-unified-plan-2023-mid-year-report#:~:text=The%20government%20of%20the%20Democratic,earliest%2C%20while%20overcoming%20the%20various</t>
  </si>
  <si>
    <t>no</t>
  </si>
  <si>
    <t>code</t>
  </si>
  <si>
    <t>https://unece.org/sites/default/files/2022-12/UNECE_San%20Marino%20Declaration.pdf</t>
  </si>
  <si>
    <t>ok</t>
  </si>
  <si>
    <t>status</t>
  </si>
  <si>
    <t>ok but not to en</t>
  </si>
  <si>
    <t>no-text</t>
  </si>
  <si>
    <t>time</t>
  </si>
  <si>
    <t>alg_01</t>
  </si>
  <si>
    <t>02:58:90</t>
  </si>
  <si>
    <t>alg_02</t>
  </si>
  <si>
    <t>03:21:93</t>
  </si>
  <si>
    <t>col</t>
  </si>
  <si>
    <t>mex</t>
  </si>
  <si>
    <t>01:52:68</t>
  </si>
  <si>
    <t>Country name</t>
  </si>
  <si>
    <t>Income Group</t>
  </si>
  <si>
    <t>Continent</t>
  </si>
  <si>
    <t>Subregion</t>
  </si>
  <si>
    <t>Abyei</t>
  </si>
  <si>
    <t>Africa</t>
  </si>
  <si>
    <t>Northern Africa</t>
  </si>
  <si>
    <t>Asia</t>
  </si>
  <si>
    <t>Southern Asia</t>
  </si>
  <si>
    <t>Aksai Chin</t>
  </si>
  <si>
    <t>Eastern Asia</t>
  </si>
  <si>
    <t>Europe</t>
  </si>
  <si>
    <t>Southern Europe</t>
  </si>
  <si>
    <t>North America</t>
  </si>
  <si>
    <t>Oceania</t>
  </si>
  <si>
    <t>American Samoa</t>
  </si>
  <si>
    <t>Polynesia</t>
  </si>
  <si>
    <t>South America</t>
  </si>
  <si>
    <t>Middle Africa</t>
  </si>
  <si>
    <t>Anguilla</t>
  </si>
  <si>
    <t>Caribbean</t>
  </si>
  <si>
    <t>Western Asia</t>
  </si>
  <si>
    <t>Aruba</t>
  </si>
  <si>
    <t>South-Eastern Asia</t>
  </si>
  <si>
    <t>Arunachal Pradesh</t>
  </si>
  <si>
    <t>Australia and New Zealand</t>
  </si>
  <si>
    <t>Eastern Africa</t>
  </si>
  <si>
    <t>Western Europe</t>
  </si>
  <si>
    <t>Western Africa</t>
  </si>
  <si>
    <t>Baker Island</t>
  </si>
  <si>
    <t>Seven seas (open ocean)</t>
  </si>
  <si>
    <t>Southern Africa</t>
  </si>
  <si>
    <t>Eastern Europe</t>
  </si>
  <si>
    <t>Central America</t>
  </si>
  <si>
    <t>Northern Europe</t>
  </si>
  <si>
    <t>Bermuda</t>
  </si>
  <si>
    <t>Northern America</t>
  </si>
  <si>
    <t>Bonaire</t>
  </si>
  <si>
    <t>Palestine</t>
  </si>
  <si>
    <t>British Indian Ocean Territory</t>
  </si>
  <si>
    <t>Melanesia</t>
  </si>
  <si>
    <t>British Virgin Islands</t>
  </si>
  <si>
    <t>Micronesia</t>
  </si>
  <si>
    <t>Cayman Islands</t>
  </si>
  <si>
    <t>Christmas Islands</t>
  </si>
  <si>
    <t>Clipperton Island</t>
  </si>
  <si>
    <t>Cocos Islands</t>
  </si>
  <si>
    <t>Developed region: G7</t>
  </si>
  <si>
    <t>Developed region: nonG7</t>
  </si>
  <si>
    <t>Emerging region: BRIC</t>
  </si>
  <si>
    <t>Cook Islands</t>
  </si>
  <si>
    <t>Emerging region: MIKT</t>
  </si>
  <si>
    <t>Emerging region: G20</t>
  </si>
  <si>
    <t>Developing region</t>
  </si>
  <si>
    <t>Least developed region</t>
  </si>
  <si>
    <t>Curaçao</t>
  </si>
  <si>
    <t>Demchok</t>
  </si>
  <si>
    <t>Democratic Republic of the Congo</t>
  </si>
  <si>
    <t>Falkland Islands</t>
  </si>
  <si>
    <t>Faroe Islands</t>
  </si>
  <si>
    <t>French Polynesia</t>
  </si>
  <si>
    <t>French Southern and Antarctic Lands</t>
  </si>
  <si>
    <t>Gibraltar</t>
  </si>
  <si>
    <t>Greenland</t>
  </si>
  <si>
    <t>Guam</t>
  </si>
  <si>
    <t>Guantanamo Bay Naval Base</t>
  </si>
  <si>
    <t>Guernsey</t>
  </si>
  <si>
    <t>Heard Island and McDonald Islands</t>
  </si>
  <si>
    <t>Hong Kong</t>
  </si>
  <si>
    <t>Howland Island</t>
  </si>
  <si>
    <t>Isle of Man</t>
  </si>
  <si>
    <t>Ivory Coast</t>
  </si>
  <si>
    <t>Jarvis Island</t>
  </si>
  <si>
    <t>Jersey</t>
  </si>
  <si>
    <t>Johnston Atoll</t>
  </si>
  <si>
    <t>Central Asia</t>
  </si>
  <si>
    <t>Kingman Reef</t>
  </si>
  <si>
    <t>Kosovo</t>
  </si>
  <si>
    <t>Macau</t>
  </si>
  <si>
    <t>Midway Island</t>
  </si>
  <si>
    <t>Montserrat</t>
  </si>
  <si>
    <t>Navassa Island</t>
  </si>
  <si>
    <t>New Caledonia</t>
  </si>
  <si>
    <t>Niue</t>
  </si>
  <si>
    <t>Norfolk Island</t>
  </si>
  <si>
    <t>Northern Mariana Islands</t>
  </si>
  <si>
    <t>Palmyra Atoll</t>
  </si>
  <si>
    <t>Pitcairn Islands</t>
  </si>
  <si>
    <t>Puerto Rico</t>
  </si>
  <si>
    <t>Saba</t>
  </si>
  <si>
    <t>Saint Helena</t>
  </si>
  <si>
    <t>Saint Martin</t>
  </si>
  <si>
    <t>Saint Pierre and Miquelon</t>
  </si>
  <si>
    <t>Saint-Barthélemy</t>
  </si>
  <si>
    <t>São Tomé and Príncipe</t>
  </si>
  <si>
    <t>Sint Eustatius</t>
  </si>
  <si>
    <t>Sint Maarten</t>
  </si>
  <si>
    <t>South Georgia and the South Sandwich Islands</t>
  </si>
  <si>
    <t>Tokelau</t>
  </si>
  <si>
    <t>Turks and Caicos Islands</t>
  </si>
  <si>
    <t>United Nations Buffer Zone in Cyprus</t>
  </si>
  <si>
    <t>United States Virgin Islands</t>
  </si>
  <si>
    <t>Vatican City</t>
  </si>
  <si>
    <t>Venezuela</t>
  </si>
  <si>
    <t>Wake Island</t>
  </si>
  <si>
    <t>Wallis and Futuna</t>
  </si>
  <si>
    <t>Western Sahara</t>
  </si>
  <si>
    <t>Lower middle income</t>
  </si>
  <si>
    <t>Low income</t>
  </si>
  <si>
    <t>Upper middle income</t>
  </si>
  <si>
    <t>High income: nonOECD</t>
  </si>
  <si>
    <t>High income: OECD</t>
  </si>
  <si>
    <t>Country Name</t>
  </si>
  <si>
    <t>Country Code</t>
  </si>
  <si>
    <t>Indicator Name</t>
  </si>
  <si>
    <t>Indicator Code</t>
  </si>
  <si>
    <t>ABW</t>
  </si>
  <si>
    <t>GDP (current US$)</t>
  </si>
  <si>
    <t>NY.GDP.MKTP.CD</t>
  </si>
  <si>
    <t>Africa Eastern and Southern</t>
  </si>
  <si>
    <t>AFE</t>
  </si>
  <si>
    <t>Africa Western and Central</t>
  </si>
  <si>
    <t>AFW</t>
  </si>
  <si>
    <t>Arab World</t>
  </si>
  <si>
    <t>ARB</t>
  </si>
  <si>
    <t>ASM</t>
  </si>
  <si>
    <t>BMU</t>
  </si>
  <si>
    <t>Central Europe and the Baltics</t>
  </si>
  <si>
    <t>CEB</t>
  </si>
  <si>
    <t>Channel Islands</t>
  </si>
  <si>
    <t>CHI</t>
  </si>
  <si>
    <t>Caribbean small states</t>
  </si>
  <si>
    <t>CSS</t>
  </si>
  <si>
    <t>Curacao</t>
  </si>
  <si>
    <t>CUW</t>
  </si>
  <si>
    <t>CYM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</si>
  <si>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</si>
  <si>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</si>
  <si>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</si>
  <si>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</si>
  <si>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</si>
  <si>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</si>
  <si>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</si>
  <si>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</si>
  <si>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</si>
  <si>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</si>
  <si>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Euro area</t>
  </si>
  <si>
    <t>EMU</t>
  </si>
  <si>
    <t>European Union</t>
  </si>
  <si>
    <t>EUU</t>
  </si>
  <si>
    <t>Fragile and conflict affected situations</t>
  </si>
  <si>
    <t>FCS</t>
  </si>
  <si>
    <t>FRO</t>
  </si>
  <si>
    <t>GIB</t>
  </si>
  <si>
    <t>GRL</t>
  </si>
  <si>
    <t>GUM</t>
  </si>
  <si>
    <t>High income</t>
  </si>
  <si>
    <t>HIC</t>
  </si>
  <si>
    <t>Hong Kong SAR, China</t>
  </si>
  <si>
    <t>HKG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</si>
  <si>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</si>
  <si>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</si>
  <si>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</si>
  <si>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</si>
  <si>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</si>
  <si>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</si>
  <si>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</si>
  <si>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</si>
  <si>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</si>
  <si>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</si>
  <si>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</si>
  <si>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</si>
  <si>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IMN</t>
  </si>
  <si>
    <t>Not classified</t>
  </si>
  <si>
    <t>INX</t>
  </si>
  <si>
    <t>Latin America &amp; Caribbean (excluding high income)</t>
  </si>
  <si>
    <t>LAC</t>
  </si>
  <si>
    <t>Latin America &amp; Caribbean</t>
  </si>
  <si>
    <t>LCN</t>
  </si>
  <si>
    <t>Least developed countries: UN classification</t>
  </si>
  <si>
    <t>LDC</t>
  </si>
  <si>
    <t>LIC</t>
  </si>
  <si>
    <t>LMC</t>
  </si>
  <si>
    <t>Low &amp; middle income</t>
  </si>
  <si>
    <t>LMY</t>
  </si>
  <si>
    <t>Late-demographic dividend</t>
  </si>
  <si>
    <t>LTE</t>
  </si>
  <si>
    <t>Macao SAR, China</t>
  </si>
  <si>
    <t>MAC</t>
  </si>
  <si>
    <t>St. Martin (French part)</t>
  </si>
  <si>
    <t>MAF</t>
  </si>
  <si>
    <t>Middle East &amp; North Africa</t>
  </si>
  <si>
    <t>MEA</t>
  </si>
  <si>
    <t>Middle income</t>
  </si>
  <si>
    <t>MIC</t>
  </si>
  <si>
    <t>Middle East &amp; North Africa (excluding high income)</t>
  </si>
  <si>
    <t>MNA</t>
  </si>
  <si>
    <t>MNP</t>
  </si>
  <si>
    <t>NAC</t>
  </si>
  <si>
    <t>NCL</t>
  </si>
  <si>
    <t>OECD members</t>
  </si>
  <si>
    <t>OED</t>
  </si>
  <si>
    <t>Other small states</t>
  </si>
  <si>
    <t>OSS</t>
  </si>
  <si>
    <t>Pre-demographic dividend</t>
  </si>
  <si>
    <t>PRE</t>
  </si>
  <si>
    <t>PRI</t>
  </si>
  <si>
    <t>Korea, Dem. People's Rep.</t>
  </si>
  <si>
    <t>West Bank and Gaza</t>
  </si>
  <si>
    <t>PSE</t>
  </si>
  <si>
    <t>Pacific island small states</t>
  </si>
  <si>
    <t>PSS</t>
  </si>
  <si>
    <t>Post-demographic dividend</t>
  </si>
  <si>
    <t>PST</t>
  </si>
  <si>
    <t>PYF</t>
  </si>
  <si>
    <t>South Asia</t>
  </si>
  <si>
    <t>SAS</t>
  </si>
  <si>
    <t>Sub-Saharan Africa (excluding high income)</t>
  </si>
  <si>
    <t>SSA</t>
  </si>
  <si>
    <t>Sub-Saharan Africa</t>
  </si>
  <si>
    <t>SSF</t>
  </si>
  <si>
    <t>Small states</t>
  </si>
  <si>
    <t>SST</t>
  </si>
  <si>
    <t>Sint Maarten (Dutch part)</t>
  </si>
  <si>
    <t>SXM</t>
  </si>
  <si>
    <t>TCA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</si>
  <si>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</si>
  <si>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</si>
  <si>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</si>
  <si>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</si>
  <si>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</si>
  <si>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</si>
  <si>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 &amp; North Africa (IDA &amp; IBRD countries)</t>
  </si>
  <si>
    <t>TMN</t>
  </si>
  <si>
    <t>South Asia (IDA &amp; IBRD)</t>
  </si>
  <si>
    <t>TSA</t>
  </si>
  <si>
    <t>Sub-Saharan Africa (IDA &amp; IBRD countries)</t>
  </si>
  <si>
    <t>TSS</t>
  </si>
  <si>
    <t>Turkiye</t>
  </si>
  <si>
    <t>UMC</t>
  </si>
  <si>
    <t>VGB</t>
  </si>
  <si>
    <t>Virgin Islands (U.S.)</t>
  </si>
  <si>
    <t>VIR</t>
  </si>
  <si>
    <t>Viet Nam</t>
  </si>
  <si>
    <t>World</t>
  </si>
  <si>
    <t>WLD</t>
  </si>
  <si>
    <t>XKX</t>
  </si>
  <si>
    <t>https://www.mop.gov.jo/ebv4.0/root_storage/en/eb_list_page/the_executive_program_for_the_economic_modernisation_vision_(2023-2025).pdf</t>
  </si>
  <si>
    <t>https://u.ae/en/about-the-uae/strategies-initiatives-and-awards/strategies-plans-and-visions/innovation-and-future-shaping/we-the-uae-2031-vision</t>
  </si>
  <si>
    <t>https://nipo.gov.ua/wp-content/uploads/2024/04/ENG_The_Strategic_Development_Plan_2024-2028-web.pdf</t>
  </si>
  <si>
    <t>https://faolex.fao.org/docs/pdf/isr199862.pdf</t>
  </si>
  <si>
    <t>ru</t>
  </si>
  <si>
    <t>confirm_lang</t>
  </si>
  <si>
    <t>pdf_retrieve</t>
  </si>
  <si>
    <t>succeed</t>
  </si>
  <si>
    <t>fail</t>
  </si>
  <si>
    <t>zh-CN</t>
  </si>
  <si>
    <t>2019-2021</t>
  </si>
  <si>
    <t>period</t>
  </si>
  <si>
    <t>2021-2023</t>
  </si>
  <si>
    <t>year</t>
  </si>
  <si>
    <t>2022-2030</t>
  </si>
  <si>
    <t>2018-2025</t>
  </si>
  <si>
    <t>2015-2019</t>
  </si>
  <si>
    <t>2020-2026</t>
  </si>
  <si>
    <t>2021-2027</t>
  </si>
  <si>
    <t>accessed_date</t>
  </si>
  <si>
    <t>type</t>
  </si>
  <si>
    <t>mid-term</t>
  </si>
  <si>
    <t>long-term</t>
  </si>
  <si>
    <t>2019-2014</t>
  </si>
  <si>
    <t>2022-2026</t>
  </si>
  <si>
    <t>2021-2030</t>
  </si>
  <si>
    <t>2022-2025</t>
  </si>
  <si>
    <t>2023-2027</t>
  </si>
  <si>
    <t>2019-2023</t>
  </si>
  <si>
    <t>2021-2025</t>
  </si>
  <si>
    <t>2013-2020</t>
  </si>
  <si>
    <t>2023-2028</t>
  </si>
  <si>
    <t>2017-2021</t>
  </si>
  <si>
    <t>2020-2025</t>
  </si>
  <si>
    <t>2021-2026</t>
  </si>
  <si>
    <t>2021-2024</t>
  </si>
  <si>
    <t>2012-2024</t>
  </si>
  <si>
    <t>2024-2028</t>
  </si>
  <si>
    <t>2020-2031</t>
  </si>
  <si>
    <t>2012-2017</t>
  </si>
  <si>
    <t>2017-2024</t>
  </si>
  <si>
    <t>2020-2030</t>
  </si>
  <si>
    <t>2002-2020</t>
  </si>
  <si>
    <t>2018-2040</t>
  </si>
  <si>
    <t>2023-2026</t>
  </si>
  <si>
    <t>2014-2025</t>
  </si>
  <si>
    <t>2017-2036</t>
  </si>
  <si>
    <t>2016-2020</t>
  </si>
  <si>
    <t>2022-2024</t>
  </si>
  <si>
    <t>2018-2023</t>
  </si>
  <si>
    <t>2014-2019</t>
  </si>
  <si>
    <t>2023-2025</t>
  </si>
  <si>
    <t>2016-2021</t>
  </si>
  <si>
    <t>2017-2023</t>
  </si>
  <si>
    <t>2011-2030</t>
  </si>
  <si>
    <t>2018-2020</t>
  </si>
  <si>
    <t>2019-2024</t>
  </si>
  <si>
    <t>2019-2030</t>
  </si>
  <si>
    <t>2010-2030</t>
  </si>
  <si>
    <t>2011-2016</t>
  </si>
  <si>
    <t>2016-2030</t>
  </si>
  <si>
    <t>2017-2040</t>
  </si>
  <si>
    <t>2018-2021</t>
  </si>
  <si>
    <t>2018-2022</t>
  </si>
  <si>
    <t>2018-2027</t>
  </si>
  <si>
    <t>2015-2035</t>
  </si>
  <si>
    <t>2012-2016</t>
  </si>
  <si>
    <t>2007-2030</t>
  </si>
  <si>
    <t>2020-2024</t>
  </si>
  <si>
    <t>2004-2023</t>
  </si>
  <si>
    <t>2020-2023</t>
  </si>
  <si>
    <t>2008-2020</t>
  </si>
  <si>
    <t>2020-2035</t>
  </si>
  <si>
    <t>2016-2036</t>
  </si>
  <si>
    <t>2006-2013</t>
  </si>
  <si>
    <t>2009-2014</t>
  </si>
  <si>
    <t>2016-2035</t>
  </si>
  <si>
    <t>2013-2025</t>
  </si>
  <si>
    <t>year_start</t>
  </si>
  <si>
    <t>year_end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</si>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</sst>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textRotation="45"/>
    </xf>
    <xf numFmtId="0" fontId="4" fillId="0" borderId="0" xfId="1"/>
    <xf numFmtId="10" fontId="0" fillId="0" borderId="0" xfId="2" applyNumberFormat="1" applyFont="1"/>
    <xf numFmtId="0" fontId="0" fillId="0" borderId="0" xfId="0" quotePrefix="1"/>
    <xf numFmtId="0" fontId="7" fillId="0" borderId="0" xfId="0" applyFont="1" applyAlignment="1">
      <alignment horizontal="center" textRotation="45"/>
    </xf>
    <xf numFmtId="0" fontId="8" fillId="0" borderId="0" xfId="0" applyFont="1"/>
    <xf numFmtId="0" fontId="8" fillId="2" borderId="0" xfId="0" applyFont="1" applyFill="1"/>
    <xf numFmtId="0" fontId="10" fillId="0" borderId="0" xfId="3" applyFont="1"/>
    <xf numFmtId="0" fontId="9" fillId="0" borderId="0" xfId="3" applyFont="1"/>
    <xf numFmtId="0" fontId="11" fillId="0" borderId="0" xfId="3" applyFont="1"/>
    <xf numFmtId="0" fontId="2" fillId="0" borderId="0" xfId="3"/>
    <xf numFmtId="0" fontId="1" fillId="0" borderId="0" xfId="4"/>
    <xf numFmtId="15" fontId="0" fillId="0" borderId="0" xfId="0" applyNumberFormat="1"/>
    <xf numFmtId="0" fontId="0" fillId="0" borderId="0" xfId="0" applyFill="1"/>
    <xf numFmtId="0" fontId="3" fillId="0" borderId="0" xfId="0" applyFont="1" applyFill="1" applyAlignment="1">
      <alignment horizontal="center" textRotation="45"/>
    </xf>
  </cellXfs>
  <cellStyles count="5">
    <cellStyle name="Hyperlink" xfId="1" builtinId="8"/>
    <cellStyle name="Normal" xfId="0" builtinId="0"/>
    <cellStyle name="Normal 2" xfId="3" xr:uid="{F0EE5D3D-671A-514C-8EE7-01BA22EFB315}"/>
    <cellStyle name="Normal 3" xfId="4" xr:uid="{2C58C3B3-807D-044E-ACE4-F6940A5FB54B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3.2%20inputs/sorting/sorting_vari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a"/>
      <sheetName val="Country Names"/>
      <sheetName val="Regional Groupings"/>
      <sheetName val="IC - Current"/>
      <sheetName val="IC - Historical"/>
      <sheetName val="Lending Cat."/>
      <sheetName val="OECD"/>
      <sheetName val="EU"/>
      <sheetName val="LDCs"/>
      <sheetName val="Landlocked"/>
      <sheetName val="SIDS"/>
      <sheetName val="Population"/>
      <sheetName val="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AUSTRALIA</v>
          </cell>
        </row>
        <row r="3">
          <cell r="B3" t="str">
            <v>AUSTRIA</v>
          </cell>
        </row>
        <row r="4">
          <cell r="B4" t="str">
            <v>BELGIUM</v>
          </cell>
        </row>
        <row r="5">
          <cell r="B5" t="str">
            <v>CANADA</v>
          </cell>
        </row>
        <row r="6">
          <cell r="B6" t="str">
            <v>CHILE</v>
          </cell>
        </row>
        <row r="7">
          <cell r="B7" t="str">
            <v>CZECH REPUBLIC</v>
          </cell>
        </row>
        <row r="8">
          <cell r="B8" t="str">
            <v>DENMARK</v>
          </cell>
        </row>
        <row r="9">
          <cell r="B9" t="str">
            <v>ESTONIA</v>
          </cell>
        </row>
        <row r="10">
          <cell r="B10" t="str">
            <v>FINLAND</v>
          </cell>
        </row>
        <row r="11">
          <cell r="B11" t="str">
            <v>FRANCE</v>
          </cell>
        </row>
        <row r="12">
          <cell r="B12" t="str">
            <v>GERMANY</v>
          </cell>
        </row>
        <row r="13">
          <cell r="B13" t="str">
            <v>GREECE</v>
          </cell>
        </row>
        <row r="14">
          <cell r="B14" t="str">
            <v>HUNGARY</v>
          </cell>
        </row>
        <row r="15">
          <cell r="B15" t="str">
            <v>ICELAND</v>
          </cell>
        </row>
        <row r="16">
          <cell r="B16" t="str">
            <v>IRELAND</v>
          </cell>
        </row>
        <row r="17">
          <cell r="B17" t="str">
            <v>ISRAEL</v>
          </cell>
        </row>
        <row r="18">
          <cell r="B18" t="str">
            <v>ITALY</v>
          </cell>
        </row>
        <row r="19">
          <cell r="B19" t="str">
            <v>JAPAN</v>
          </cell>
        </row>
        <row r="20">
          <cell r="B20" t="str">
            <v>KOREA</v>
          </cell>
        </row>
        <row r="21">
          <cell r="B21" t="str">
            <v>LATVIA</v>
          </cell>
        </row>
        <row r="22">
          <cell r="B22" t="str">
            <v>LUXEMBOURG</v>
          </cell>
        </row>
        <row r="23">
          <cell r="B23" t="str">
            <v>MEXICO</v>
          </cell>
        </row>
        <row r="24">
          <cell r="B24" t="str">
            <v>NETHERLANDS</v>
          </cell>
        </row>
        <row r="25">
          <cell r="B25" t="str">
            <v>NEW ZEALAND</v>
          </cell>
        </row>
        <row r="26">
          <cell r="B26" t="str">
            <v>NORWAY</v>
          </cell>
        </row>
        <row r="27">
          <cell r="B27" t="str">
            <v>POLAND</v>
          </cell>
        </row>
        <row r="28">
          <cell r="B28" t="str">
            <v>PORTUGAL</v>
          </cell>
        </row>
        <row r="29">
          <cell r="B29" t="str">
            <v>SLOVAK REPUBLIC</v>
          </cell>
        </row>
        <row r="30">
          <cell r="B30" t="str">
            <v>SLOVENIA</v>
          </cell>
        </row>
        <row r="31">
          <cell r="B31" t="str">
            <v>SPAIN</v>
          </cell>
        </row>
        <row r="32">
          <cell r="B32" t="str">
            <v>SWEDEN</v>
          </cell>
        </row>
        <row r="33">
          <cell r="B33" t="str">
            <v>SWITZERLAND</v>
          </cell>
        </row>
        <row r="34">
          <cell r="B34" t="str">
            <v>TURKEY</v>
          </cell>
        </row>
        <row r="35">
          <cell r="B35" t="str">
            <v>UNITED KINGDOM</v>
          </cell>
        </row>
        <row r="36">
          <cell r="B36" t="str">
            <v>UNITED STATES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bservatorioplanificacion.cepal.org/sites/default/files/plan/files/Guyanas-Low-Carbon-Development-Strategy-2030.pdf" TargetMode="External"/><Relationship Id="rId18" Type="http://schemas.openxmlformats.org/officeDocument/2006/relationships/hyperlink" Target="https://observatorioplanificacion.cepal.org/sites/default/files/plan/files/Medium-Term-Socio-Economic-Policy-Framework-MTF-2021-2024.pdf" TargetMode="External"/><Relationship Id="rId26" Type="http://schemas.openxmlformats.org/officeDocument/2006/relationships/hyperlink" Target="https://observatorioplanificacion.cepal.org/sites/default/files/plan/files/Plan%20Nacional%20de%20Desarrollo%20de%20M&#233;xico.pdf" TargetMode="External"/><Relationship Id="rId39" Type="http://schemas.openxmlformats.org/officeDocument/2006/relationships/hyperlink" Target="https://observatorioplanificacion.cepal.org/sites/default/files/plan/files/SaintKittsandNevisNationalAdaptationStrategy2006-2017.pdf" TargetMode="External"/><Relationship Id="rId21" Type="http://schemas.openxmlformats.org/officeDocument/2006/relationships/hyperlink" Target="https://observatorioplanificacion.cepal.org/en/plans?page=1" TargetMode="External"/><Relationship Id="rId34" Type="http://schemas.openxmlformats.org/officeDocument/2006/relationships/hyperlink" Target="https://observatorioplanificacion.cepal.org/sites/default/files/plan/files/ParaguayPlanNacionaldeDesarrollo2030.pdf" TargetMode="External"/><Relationship Id="rId42" Type="http://schemas.openxmlformats.org/officeDocument/2006/relationships/hyperlink" Target="https://www.scpd.gov.kw/archive/&#1576;&#1585;&#1606;&#1575;&#1605;&#1580;%20&#1593;&#1605;&#1604;%20&#1581;&#1603;&#1608;&#1605;&#1577;%20&#1583;&#1608;&#1604;&#1577;%20&#1575;&#1604;&#1603;&#1608;&#1610;&#1578;%202022-2026.pdf" TargetMode="External"/><Relationship Id="rId47" Type="http://schemas.openxmlformats.org/officeDocument/2006/relationships/hyperlink" Target="https://andp.unescwa.org/sites/default/files/2020-10/The%20Twenty-Five-Year%20National%20Strategy%20%28Vision%202031%29.pdf" TargetMode="External"/><Relationship Id="rId50" Type="http://schemas.openxmlformats.org/officeDocument/2006/relationships/hyperlink" Target="https://www.mase.gov.it/sites/default/files/archivio/allegati/sviluppo_sostenibile/Italy_in_a_glance_VNR.pdf" TargetMode="External"/><Relationship Id="rId7" Type="http://schemas.openxmlformats.org/officeDocument/2006/relationships/hyperlink" Target="https://www.gov.uk/government/publications/build-back-better-our-plan-for-growth/build-back-better-our-plan-for-growth-html" TargetMode="External"/><Relationship Id="rId2" Type="http://schemas.openxmlformats.org/officeDocument/2006/relationships/hyperlink" Target="https://www.government.se/contentassets/52ae212bd7964d9d9ed10f329226f92d/swedens-national-reform-programme-2022.pdf" TargetMode="External"/><Relationship Id="rId16" Type="http://schemas.openxmlformats.org/officeDocument/2006/relationships/hyperlink" Target="https://observatorioplanificacion.cepal.org/sites/default/files/plan/files/MOP-2022-2026-Volledig-FINAL-DNA-approved-Engels.pdf" TargetMode="External"/><Relationship Id="rId29" Type="http://schemas.openxmlformats.org/officeDocument/2006/relationships/hyperlink" Target="https://observatorioplanificacion.cepal.org/sites/default/files/plan/files/Plan%20de%20desarrollo%202040.pdf" TargetMode="External"/><Relationship Id="rId11" Type="http://schemas.openxmlformats.org/officeDocument/2006/relationships/hyperlink" Target="https://observatorioplanificacion.cepal.org/sites/default/files/plan/files/PNDIP%202023-2026%20Main.pdf" TargetMode="External"/><Relationship Id="rId24" Type="http://schemas.openxmlformats.org/officeDocument/2006/relationships/hyperlink" Target="https://observatorioplanificacion.cepal.org/sites/default/files/plan/files/PEG%202020-2024%20Panam&#225;.pdf" TargetMode="External"/><Relationship Id="rId32" Type="http://schemas.openxmlformats.org/officeDocument/2006/relationships/hyperlink" Target="https://observatorioplanificacion.cepal.org/sites/default/files/plan/files/Trinidad_y_Tobago_Vision_%202030_2016_2030_tiny.pdf" TargetMode="External"/><Relationship Id="rId37" Type="http://schemas.openxmlformats.org/officeDocument/2006/relationships/hyperlink" Target="https://observatorioplanificacion.cepal.org/sites/default/files/plan/files/SanVicenteylasgranadinascompleto.pdf" TargetMode="External"/><Relationship Id="rId40" Type="http://schemas.openxmlformats.org/officeDocument/2006/relationships/hyperlink" Target="https://www.npc.gov.na/wp-content/uploads/2021/11/NDP5.pdf" TargetMode="External"/><Relationship Id="rId45" Type="http://schemas.openxmlformats.org/officeDocument/2006/relationships/hyperlink" Target="https://andp.unescwa.org/sites/default/files/2020-09/Jordan%202025%20A%20National%20Vision%20and%20Strategy.pdf" TargetMode="External"/><Relationship Id="rId5" Type="http://schemas.openxmlformats.org/officeDocument/2006/relationships/hyperlink" Target="https://www.pkc.gov.lv/en/national-development-planning" TargetMode="External"/><Relationship Id="rId15" Type="http://schemas.openxmlformats.org/officeDocument/2006/relationships/hyperlink" Target="https://observatorioplanificacion.cepal.org/sites/default/files/plan/files/PLAN-DE-GOBIERNO-XIOMARA-CASTRO_0.pdf" TargetMode="External"/><Relationship Id="rId23" Type="http://schemas.openxmlformats.org/officeDocument/2006/relationships/hyperlink" Target="https://observatorioplanificacion.cepal.org/sites/default/files/plan/files/GRANADA-NSDP20202035.pdf" TargetMode="External"/><Relationship Id="rId28" Type="http://schemas.openxmlformats.org/officeDocument/2006/relationships/hyperlink" Target="https://observatorioplanificacion.cepal.org/sites/default/files/plan/files/Belice%20National%20Development%20Framework%202010%202030_0.pdf" TargetMode="External"/><Relationship Id="rId36" Type="http://schemas.openxmlformats.org/officeDocument/2006/relationships/hyperlink" Target="https://observatorioplanificacion.cepal.org/en/plans?page=4" TargetMode="External"/><Relationship Id="rId49" Type="http://schemas.openxmlformats.org/officeDocument/2006/relationships/hyperlink" Target="https://www.sh.gov.zm/wp-content/uploads/2022/09/EIGHTH-NATIONAL-DEVELOPMENT-PLAN-2022-2026-05-07-2022.pdf" TargetMode="External"/><Relationship Id="rId10" Type="http://schemas.openxmlformats.org/officeDocument/2006/relationships/hyperlink" Target="https://observatorioplanificacion.cepal.org/sites/default/files/plan/files/Programa%20de%20Gobierno%20Gustavo%20Petro_.pdf" TargetMode="External"/><Relationship Id="rId19" Type="http://schemas.openxmlformats.org/officeDocument/2006/relationships/hyperlink" Target="https://observatorioplanificacion.cepal.org/sites/default/files/plan/files/PNPSP-Plan%20Nacional%20Plurianual%20del%20Sector%20P&#250;blico.pdf" TargetMode="External"/><Relationship Id="rId31" Type="http://schemas.openxmlformats.org/officeDocument/2006/relationships/hyperlink" Target="https://observatorioplanificacion.cepal.org/en/plans?page=3" TargetMode="External"/><Relationship Id="rId44" Type="http://schemas.openxmlformats.org/officeDocument/2006/relationships/hyperlink" Target="https://andp.unescwa.org/sites/default/files/2020-09/Sustainable%20Development%20Strategy%20%28SDS%29%20-%20Egypt%20Vision%202030.pdf" TargetMode="External"/><Relationship Id="rId4" Type="http://schemas.openxmlformats.org/officeDocument/2006/relationships/hyperlink" Target="https://www.indonesia-investments.com/projects/government-development-plans/national-medium-term-development-plan-rpjmn-2010-2014/item307" TargetMode="External"/><Relationship Id="rId9" Type="http://schemas.openxmlformats.org/officeDocument/2006/relationships/hyperlink" Target="https://www.gov.za/sites/default/files/gcis_document/201409/ndp-2030-our-future-make-it-workr.pdf" TargetMode="External"/><Relationship Id="rId14" Type="http://schemas.openxmlformats.org/officeDocument/2006/relationships/hyperlink" Target="https://observatorioplanificacion.cepal.org/sites/default/files/plan/files/Plan%2Bde%2Bgobierno%2BAD%2B2022-2026%2B%282%29.pdf" TargetMode="External"/><Relationship Id="rId22" Type="http://schemas.openxmlformats.org/officeDocument/2006/relationships/hyperlink" Target="https://observatorioplanificacion.cepal.org/sites/default/files/plan/files/efd-2020-2031_v2_1.pdf" TargetMode="External"/><Relationship Id="rId27" Type="http://schemas.openxmlformats.org/officeDocument/2006/relationships/hyperlink" Target="https://observatorioplanificacion.cepal.org/sites/default/files/plan/files/Venezuela_Plan%20de%20la%20Patria%202019-2025%20%282019%29.pdf" TargetMode="External"/><Relationship Id="rId30" Type="http://schemas.openxmlformats.org/officeDocument/2006/relationships/hyperlink" Target="https://observatorioplanificacion.cepal.org/sites/default/files/plan/files/Uruguay_Estrategia_Desarrollo_2050.pdf" TargetMode="External"/><Relationship Id="rId35" Type="http://schemas.openxmlformats.org/officeDocument/2006/relationships/hyperlink" Target="https://observatorioplanificacion.cepal.org/sites/default/files/plan/files/ELSAL.pdf" TargetMode="External"/><Relationship Id="rId43" Type="http://schemas.openxmlformats.org/officeDocument/2006/relationships/hyperlink" Target="https://andp.unescwa.org/sites/default/files/2020-09/Plan%20d%27Action%20du%20Gouvernement%20pour%20la%20Mise%20en%20&#338;uvre%20du%20Programme%20du%20President%20de%20la%20Republique%202017.pdf" TargetMode="External"/><Relationship Id="rId48" Type="http://schemas.openxmlformats.org/officeDocument/2006/relationships/hyperlink" Target="https://extranet.who.int/nutrition/gina/sites/default/filesstore/TCD%202017%20National%20Development%20Plan_0.pdf" TargetMode="External"/><Relationship Id="rId8" Type="http://schemas.openxmlformats.org/officeDocument/2006/relationships/hyperlink" Target="https://www.google.com/url?sa=t&amp;rct=j&amp;q=&amp;esrc=s&amp;source=web&amp;cd=&amp;ved=2ahUKEwi1vLeN5K2EAxX7WEEAHV_QDH8QFnoECDEQAQ&amp;url=https%3A%2F%2Fassets.gov.ie%2F200358%2Fa36dd274-736c-4d04-8879-b158e8b95029.pdf&amp;usg=AOvVaw1TZxsyMgbeD0GDiaduxhKd&amp;opi=89978449" TargetMode="External"/><Relationship Id="rId3" Type="http://schemas.openxmlformats.org/officeDocument/2006/relationships/hyperlink" Target="https://www.government.se/contentassets/52ae212bd7964d9d9ed10f329226f92d/swedens-national-reform-programme-2022.pdf" TargetMode="External"/><Relationship Id="rId12" Type="http://schemas.openxmlformats.org/officeDocument/2006/relationships/hyperlink" Target="https://observatorioplanificacion.cepal.org/sites/default/files/plan/files/PERU%20Plan%20Estrat&#233;gico%20de%20Desarrollo%20Nacional%20al%202050%20-%20versi&#243;n%20sin%20diagramar.pdf" TargetMode="External"/><Relationship Id="rId17" Type="http://schemas.openxmlformats.org/officeDocument/2006/relationships/hyperlink" Target="https://observatorioplanificacion.cepal.org/sites/default/files/plan/files/PNCL-DH_2022-2026%2819Jul21%29_0.pdf" TargetMode="External"/><Relationship Id="rId25" Type="http://schemas.openxmlformats.org/officeDocument/2006/relationships/hyperlink" Target="https://observatorioplanificacion.cepal.org/sites/default/files/plan/files/FOLLETO%20PNDES%20%20FINAL%20est&#225;%20en%20planificaci&#243;n_0.pdf" TargetMode="External"/><Relationship Id="rId33" Type="http://schemas.openxmlformats.org/officeDocument/2006/relationships/hyperlink" Target="https://observatorioplanificacion.cepal.org/sites/default/files/plan/files/ArgentinaObjetivosdeGobierno.pdf" TargetMode="External"/><Relationship Id="rId38" Type="http://schemas.openxmlformats.org/officeDocument/2006/relationships/hyperlink" Target="https://observatorioplanificacion.cepal.org/sites/default/files/plan/files/SanVicenteylasgranadinascompleto.pdf" TargetMode="External"/><Relationship Id="rId46" Type="http://schemas.openxmlformats.org/officeDocument/2006/relationships/hyperlink" Target="https://andp.unescwa.org/sites/default/files/2020-10/Lebanon%20Economic%20Vision.pdf" TargetMode="External"/><Relationship Id="rId20" Type="http://schemas.openxmlformats.org/officeDocument/2006/relationships/hyperlink" Target="https://observatorioplanificacion.cepal.org/sites/default/files/plan/files/PDES_2021-2025a_compressed_0.pdf" TargetMode="External"/><Relationship Id="rId41" Type="http://schemas.openxmlformats.org/officeDocument/2006/relationships/hyperlink" Target="https://thinkpacific.com/app/uploads/2020/06/Fijian-Government-National-Development-Plan-min.pdf" TargetMode="External"/><Relationship Id="rId1" Type="http://schemas.openxmlformats.org/officeDocument/2006/relationships/hyperlink" Target="https://um.fi/goals-and-principles-of-finland-s-development-policy" TargetMode="External"/><Relationship Id="rId6" Type="http://schemas.openxmlformats.org/officeDocument/2006/relationships/hyperlink" Target="http://timor-leste.gov.tl/wp-content/uploads/2011/07/Timor-Leste-Strategic-Plan-2011-20301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bservatorioplanificacion.cepal.org/sites/default/files/plan/files/Guyanas-Low-Carbon-Development-Strategy-2030.pdf" TargetMode="External"/><Relationship Id="rId18" Type="http://schemas.openxmlformats.org/officeDocument/2006/relationships/hyperlink" Target="https://observatorioplanificacion.cepal.org/sites/default/files/plan/files/Medium-Term-Socio-Economic-Policy-Framework-MTF-2021-2024.pdf" TargetMode="External"/><Relationship Id="rId26" Type="http://schemas.openxmlformats.org/officeDocument/2006/relationships/hyperlink" Target="https://observatorioplanificacion.cepal.org/sites/default/files/plan/files/Plan%20Nacional%20de%20Desarrollo%20de%20M&#233;xico.pdf" TargetMode="External"/><Relationship Id="rId39" Type="http://schemas.openxmlformats.org/officeDocument/2006/relationships/hyperlink" Target="https://observatorioplanificacion.cepal.org/sites/default/files/plan/files/SaintKittsandNevisNationalAdaptationStrategy2006-2017.pdf" TargetMode="External"/><Relationship Id="rId21" Type="http://schemas.openxmlformats.org/officeDocument/2006/relationships/hyperlink" Target="https://observatorioplanificacion.cepal.org/en/plans?page=1" TargetMode="External"/><Relationship Id="rId34" Type="http://schemas.openxmlformats.org/officeDocument/2006/relationships/hyperlink" Target="https://observatorioplanificacion.cepal.org/sites/default/files/plan/files/ParaguayPlanNacionaldeDesarrollo2030.pdf" TargetMode="External"/><Relationship Id="rId42" Type="http://schemas.openxmlformats.org/officeDocument/2006/relationships/hyperlink" Target="https://www.scpd.gov.kw/archive/&#1576;&#1585;&#1606;&#1575;&#1605;&#1580;%20&#1593;&#1605;&#1604;%20&#1581;&#1603;&#1608;&#1605;&#1577;%20&#1583;&#1608;&#1604;&#1577;%20&#1575;&#1604;&#1603;&#1608;&#1610;&#1578;%202022-2026.pdf" TargetMode="External"/><Relationship Id="rId47" Type="http://schemas.openxmlformats.org/officeDocument/2006/relationships/hyperlink" Target="https://andp.unescwa.org/sites/default/files/2020-10/The%20Twenty-Five-Year%20National%20Strategy%20%28Vision%202031%29.pdf" TargetMode="External"/><Relationship Id="rId50" Type="http://schemas.openxmlformats.org/officeDocument/2006/relationships/hyperlink" Target="https://www.mase.gov.it/sites/default/files/archivio/allegati/sviluppo_sostenibile/Italy_in_a_glance_VNR.pdf" TargetMode="External"/><Relationship Id="rId7" Type="http://schemas.openxmlformats.org/officeDocument/2006/relationships/hyperlink" Target="https://www.gov.uk/government/publications/build-back-better-our-plan-for-growth/build-back-better-our-plan-for-growth-html" TargetMode="External"/><Relationship Id="rId2" Type="http://schemas.openxmlformats.org/officeDocument/2006/relationships/hyperlink" Target="https://www.government.se/contentassets/52ae212bd7964d9d9ed10f329226f92d/swedens-national-reform-programme-2022.pdf" TargetMode="External"/><Relationship Id="rId16" Type="http://schemas.openxmlformats.org/officeDocument/2006/relationships/hyperlink" Target="https://observatorioplanificacion.cepal.org/sites/default/files/plan/files/MOP-2022-2026-Volledig-FINAL-DNA-approved-Engels.pdf" TargetMode="External"/><Relationship Id="rId29" Type="http://schemas.openxmlformats.org/officeDocument/2006/relationships/hyperlink" Target="https://observatorioplanificacion.cepal.org/sites/default/files/plan/files/Plan%20de%20desarrollo%202040.pdf" TargetMode="External"/><Relationship Id="rId11" Type="http://schemas.openxmlformats.org/officeDocument/2006/relationships/hyperlink" Target="https://observatorioplanificacion.cepal.org/sites/default/files/plan/files/PNDIP%202023-2026%20Main.pdf" TargetMode="External"/><Relationship Id="rId24" Type="http://schemas.openxmlformats.org/officeDocument/2006/relationships/hyperlink" Target="https://observatorioplanificacion.cepal.org/sites/default/files/plan/files/PEG%202020-2024%20Panam&#225;.pdf" TargetMode="External"/><Relationship Id="rId32" Type="http://schemas.openxmlformats.org/officeDocument/2006/relationships/hyperlink" Target="https://observatorioplanificacion.cepal.org/sites/default/files/plan/files/Trinidad_y_Tobago_Vision_%202030_2016_2030_tiny.pdf" TargetMode="External"/><Relationship Id="rId37" Type="http://schemas.openxmlformats.org/officeDocument/2006/relationships/hyperlink" Target="https://observatorioplanificacion.cepal.org/sites/default/files/plan/files/SanVicenteylasgranadinascompleto.pdf" TargetMode="External"/><Relationship Id="rId40" Type="http://schemas.openxmlformats.org/officeDocument/2006/relationships/hyperlink" Target="https://www.npc.gov.na/wp-content/uploads/2021/11/NDP5.pdf" TargetMode="External"/><Relationship Id="rId45" Type="http://schemas.openxmlformats.org/officeDocument/2006/relationships/hyperlink" Target="https://andp.unescwa.org/sites/default/files/2020-09/Jordan%202025%20A%20National%20Vision%20and%20Strategy.pdf" TargetMode="External"/><Relationship Id="rId5" Type="http://schemas.openxmlformats.org/officeDocument/2006/relationships/hyperlink" Target="https://www.pkc.gov.lv/en/national-development-planning" TargetMode="External"/><Relationship Id="rId15" Type="http://schemas.openxmlformats.org/officeDocument/2006/relationships/hyperlink" Target="https://observatorioplanificacion.cepal.org/sites/default/files/plan/files/PLAN-DE-GOBIERNO-XIOMARA-CASTRO_0.pdf" TargetMode="External"/><Relationship Id="rId23" Type="http://schemas.openxmlformats.org/officeDocument/2006/relationships/hyperlink" Target="https://observatorioplanificacion.cepal.org/sites/default/files/plan/files/GRANADA-NSDP20202035.pdf" TargetMode="External"/><Relationship Id="rId28" Type="http://schemas.openxmlformats.org/officeDocument/2006/relationships/hyperlink" Target="https://observatorioplanificacion.cepal.org/sites/default/files/plan/files/Belice%20National%20Development%20Framework%202010%202030_0.pdf" TargetMode="External"/><Relationship Id="rId36" Type="http://schemas.openxmlformats.org/officeDocument/2006/relationships/hyperlink" Target="https://observatorioplanificacion.cepal.org/en/plans?page=4" TargetMode="External"/><Relationship Id="rId49" Type="http://schemas.openxmlformats.org/officeDocument/2006/relationships/hyperlink" Target="https://www.sh.gov.zm/wp-content/uploads/2022/09/EIGHTH-NATIONAL-DEVELOPMENT-PLAN-2022-2026-05-07-2022.pdf" TargetMode="External"/><Relationship Id="rId10" Type="http://schemas.openxmlformats.org/officeDocument/2006/relationships/hyperlink" Target="https://observatorioplanificacion.cepal.org/sites/default/files/plan/files/Programa%20de%20Gobierno%20Gustavo%20Petro_.pdf" TargetMode="External"/><Relationship Id="rId19" Type="http://schemas.openxmlformats.org/officeDocument/2006/relationships/hyperlink" Target="https://observatorioplanificacion.cepal.org/sites/default/files/plan/files/PNPSP-Plan%20Nacional%20Plurianual%20del%20Sector%20P&#250;blico.pdf" TargetMode="External"/><Relationship Id="rId31" Type="http://schemas.openxmlformats.org/officeDocument/2006/relationships/hyperlink" Target="https://observatorioplanificacion.cepal.org/en/plans?page=3" TargetMode="External"/><Relationship Id="rId44" Type="http://schemas.openxmlformats.org/officeDocument/2006/relationships/hyperlink" Target="https://andp.unescwa.org/sites/default/files/2020-09/Sustainable%20Development%20Strategy%20%28SDS%29%20-%20Egypt%20Vision%202030.pdf" TargetMode="External"/><Relationship Id="rId52" Type="http://schemas.openxmlformats.org/officeDocument/2006/relationships/hyperlink" Target="https://www.regjeringen.no/globalassets/departementene/ud/vedlegg/utvikling/sdg_rapport_full_en.pdf" TargetMode="External"/><Relationship Id="rId4" Type="http://schemas.openxmlformats.org/officeDocument/2006/relationships/hyperlink" Target="https://www.indonesia-investments.com/projects/government-development-plans/national-medium-term-development-plan-rpjmn-2010-2014/item307" TargetMode="External"/><Relationship Id="rId9" Type="http://schemas.openxmlformats.org/officeDocument/2006/relationships/hyperlink" Target="https://www.gov.za/sites/default/files/gcis_document/201409/ndp-2030-our-future-make-it-workr.pdf" TargetMode="External"/><Relationship Id="rId14" Type="http://schemas.openxmlformats.org/officeDocument/2006/relationships/hyperlink" Target="https://observatorioplanificacion.cepal.org/sites/default/files/plan/files/Plan%2Bde%2Bgobierno%2BAD%2B2022-2026%2B%282%29.pdf" TargetMode="External"/><Relationship Id="rId22" Type="http://schemas.openxmlformats.org/officeDocument/2006/relationships/hyperlink" Target="https://observatorioplanificacion.cepal.org/sites/default/files/plan/files/efd-2020-2031_v2_1.pdf" TargetMode="External"/><Relationship Id="rId27" Type="http://schemas.openxmlformats.org/officeDocument/2006/relationships/hyperlink" Target="https://observatorioplanificacion.cepal.org/sites/default/files/plan/files/Venezuela_Plan%20de%20la%20Patria%202019-2025%20%282019%29.pdf" TargetMode="External"/><Relationship Id="rId30" Type="http://schemas.openxmlformats.org/officeDocument/2006/relationships/hyperlink" Target="https://observatorioplanificacion.cepal.org/sites/default/files/plan/files/Uruguay_Estrategia_Desarrollo_2050.pdf" TargetMode="External"/><Relationship Id="rId35" Type="http://schemas.openxmlformats.org/officeDocument/2006/relationships/hyperlink" Target="https://observatorioplanificacion.cepal.org/sites/default/files/plan/files/ELSAL.pdf" TargetMode="External"/><Relationship Id="rId43" Type="http://schemas.openxmlformats.org/officeDocument/2006/relationships/hyperlink" Target="https://andp.unescwa.org/sites/default/files/2020-09/Plan%20d%27Action%20du%20Gouvernement%20pour%20la%20Mise%20en%20&#338;uvre%20du%20Programme%20du%20President%20de%20la%20Republique%202017.pdf" TargetMode="External"/><Relationship Id="rId48" Type="http://schemas.openxmlformats.org/officeDocument/2006/relationships/hyperlink" Target="https://extranet.who.int/nutrition/gina/sites/default/filesstore/TCD%202017%20National%20Development%20Plan_0.pdf" TargetMode="External"/><Relationship Id="rId8" Type="http://schemas.openxmlformats.org/officeDocument/2006/relationships/hyperlink" Target="https://www.google.com/url?sa=t&amp;rct=j&amp;q=&amp;esrc=s&amp;source=web&amp;cd=&amp;ved=2ahUKEwi1vLeN5K2EAxX7WEEAHV_QDH8QFnoECDEQAQ&amp;url=https%3A%2F%2Fassets.gov.ie%2F200358%2Fa36dd274-736c-4d04-8879-b158e8b95029.pdf&amp;usg=AOvVaw1TZxsyMgbeD0GDiaduxhKd&amp;opi=89978449" TargetMode="External"/><Relationship Id="rId51" Type="http://schemas.openxmlformats.org/officeDocument/2006/relationships/hyperlink" Target="https://open.overheid.nl/documenten/ronl-abc474ae7a39fe82e5f6f276ab663739cdb56902/pdf" TargetMode="External"/><Relationship Id="rId3" Type="http://schemas.openxmlformats.org/officeDocument/2006/relationships/hyperlink" Target="https://www.government.se/contentassets/52ae212bd7964d9d9ed10f329226f92d/swedens-national-reform-programme-2022.pdf" TargetMode="External"/><Relationship Id="rId12" Type="http://schemas.openxmlformats.org/officeDocument/2006/relationships/hyperlink" Target="https://observatorioplanificacion.cepal.org/sites/default/files/plan/files/PERU%20Plan%20Estrat&#233;gico%20de%20Desarrollo%20Nacional%20al%202050%20-%20versi&#243;n%20sin%20diagramar.pdf" TargetMode="External"/><Relationship Id="rId17" Type="http://schemas.openxmlformats.org/officeDocument/2006/relationships/hyperlink" Target="https://observatorioplanificacion.cepal.org/sites/default/files/plan/files/PNCL-DH_2022-2026%2819Jul21%29_0.pdf" TargetMode="External"/><Relationship Id="rId25" Type="http://schemas.openxmlformats.org/officeDocument/2006/relationships/hyperlink" Target="https://observatorioplanificacion.cepal.org/sites/default/files/plan/files/FOLLETO%20PNDES%20%20FINAL%20est&#225;%20en%20planificaci&#243;n_0.pdf" TargetMode="External"/><Relationship Id="rId33" Type="http://schemas.openxmlformats.org/officeDocument/2006/relationships/hyperlink" Target="https://observatorioplanificacion.cepal.org/sites/default/files/plan/files/ArgentinaObjetivosdeGobierno.pdf" TargetMode="External"/><Relationship Id="rId38" Type="http://schemas.openxmlformats.org/officeDocument/2006/relationships/hyperlink" Target="https://observatorioplanificacion.cepal.org/sites/default/files/plan/files/SanVicenteylasgranadinascompleto.pdf" TargetMode="External"/><Relationship Id="rId46" Type="http://schemas.openxmlformats.org/officeDocument/2006/relationships/hyperlink" Target="https://andp.unescwa.org/sites/default/files/2020-10/Lebanon%20Economic%20Vision.pdf" TargetMode="External"/><Relationship Id="rId20" Type="http://schemas.openxmlformats.org/officeDocument/2006/relationships/hyperlink" Target="https://observatorioplanificacion.cepal.org/sites/default/files/plan/files/PDES_2021-2025a_compressed_0.pdf" TargetMode="External"/><Relationship Id="rId41" Type="http://schemas.openxmlformats.org/officeDocument/2006/relationships/hyperlink" Target="https://thinkpacific.com/app/uploads/2020/06/Fijian-Government-National-Development-Plan-min.pdf" TargetMode="External"/><Relationship Id="rId1" Type="http://schemas.openxmlformats.org/officeDocument/2006/relationships/hyperlink" Target="https://um.fi/goals-and-principles-of-finland-s-development-policy" TargetMode="External"/><Relationship Id="rId6" Type="http://schemas.openxmlformats.org/officeDocument/2006/relationships/hyperlink" Target="http://timor-leste.gov.tl/wp-content/uploads/2011/07/Timor-Leste-Strategic-Plan-2011-20301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observatorioplanificacion.cepal.org/sites/default/files/plan/files/Guyanas-Low-Carbon-Development-Strategy-2030.pdf" TargetMode="External"/><Relationship Id="rId18" Type="http://schemas.openxmlformats.org/officeDocument/2006/relationships/hyperlink" Target="https://observatorioplanificacion.cepal.org/sites/default/files/plan/files/Medium-Term-Socio-Economic-Policy-Framework-MTF-2021-2024.pdf" TargetMode="External"/><Relationship Id="rId26" Type="http://schemas.openxmlformats.org/officeDocument/2006/relationships/hyperlink" Target="https://observatorioplanificacion.cepal.org/sites/default/files/plan/files/Plan%20Nacional%20de%20Desarrollo%20de%20M&#233;xico.pdf" TargetMode="External"/><Relationship Id="rId39" Type="http://schemas.openxmlformats.org/officeDocument/2006/relationships/hyperlink" Target="https://observatorioplanificacion.cepal.org/sites/default/files/plan/files/SaintKittsandNevisNationalAdaptationStrategy2006-2017.pdf" TargetMode="External"/><Relationship Id="rId21" Type="http://schemas.openxmlformats.org/officeDocument/2006/relationships/hyperlink" Target="https://observatorioplanificacion.cepal.org/en/plans?page=1" TargetMode="External"/><Relationship Id="rId34" Type="http://schemas.openxmlformats.org/officeDocument/2006/relationships/hyperlink" Target="https://observatorioplanificacion.cepal.org/sites/default/files/plan/files/ParaguayPlanNacionaldeDesarrollo2030.pdf" TargetMode="External"/><Relationship Id="rId42" Type="http://schemas.openxmlformats.org/officeDocument/2006/relationships/hyperlink" Target="https://www.scpd.gov.kw/archive/&#1576;&#1585;&#1606;&#1575;&#1605;&#1580;%20&#1593;&#1605;&#1604;%20&#1581;&#1603;&#1608;&#1605;&#1577;%20&#1583;&#1608;&#1604;&#1577;%20&#1575;&#1604;&#1603;&#1608;&#1610;&#1578;%202022-2026.pdf" TargetMode="External"/><Relationship Id="rId47" Type="http://schemas.openxmlformats.org/officeDocument/2006/relationships/hyperlink" Target="https://extranet.who.int/nutrition/gina/sites/default/filesstore/TCD%202017%20National%20Development%20Plan_0.pdf" TargetMode="External"/><Relationship Id="rId50" Type="http://schemas.openxmlformats.org/officeDocument/2006/relationships/hyperlink" Target="https://open.overheid.nl/documenten/ronl-abc474ae7a39fe82e5f6f276ab663739cdb56902/pdf" TargetMode="External"/><Relationship Id="rId55" Type="http://schemas.openxmlformats.org/officeDocument/2006/relationships/hyperlink" Target="https://policy.asiapacificenergy.org/node/3544" TargetMode="External"/><Relationship Id="rId7" Type="http://schemas.openxmlformats.org/officeDocument/2006/relationships/hyperlink" Target="https://www.gov.uk/government/publications/build-back-better-our-plan-for-growth/build-back-better-our-plan-for-growth-html" TargetMode="External"/><Relationship Id="rId2" Type="http://schemas.openxmlformats.org/officeDocument/2006/relationships/hyperlink" Target="https://www.government.se/contentassets/52ae212bd7964d9d9ed10f329226f92d/swedens-national-reform-programme-2022.pdf" TargetMode="External"/><Relationship Id="rId16" Type="http://schemas.openxmlformats.org/officeDocument/2006/relationships/hyperlink" Target="https://observatorioplanificacion.cepal.org/sites/default/files/plan/files/MOP-2022-2026-Volledig-FINAL-DNA-approved-Engels.pdf" TargetMode="External"/><Relationship Id="rId29" Type="http://schemas.openxmlformats.org/officeDocument/2006/relationships/hyperlink" Target="https://observatorioplanificacion.cepal.org/sites/default/files/plan/files/Plan%20de%20desarrollo%202040.pdf" TargetMode="External"/><Relationship Id="rId11" Type="http://schemas.openxmlformats.org/officeDocument/2006/relationships/hyperlink" Target="https://observatorioplanificacion.cepal.org/sites/default/files/plan/files/PNDIP%202023-2026%20Main.pdf" TargetMode="External"/><Relationship Id="rId24" Type="http://schemas.openxmlformats.org/officeDocument/2006/relationships/hyperlink" Target="https://observatorioplanificacion.cepal.org/sites/default/files/plan/files/PEG%202020-2024%20Panam&#225;.pdf" TargetMode="External"/><Relationship Id="rId32" Type="http://schemas.openxmlformats.org/officeDocument/2006/relationships/hyperlink" Target="https://observatorioplanificacion.cepal.org/sites/default/files/plan/files/Trinidad_y_Tobago_Vision_%202030_2016_2030_tiny.pdf" TargetMode="External"/><Relationship Id="rId37" Type="http://schemas.openxmlformats.org/officeDocument/2006/relationships/hyperlink" Target="https://observatorioplanificacion.cepal.org/sites/default/files/plan/files/SanVicenteylasgranadinascompleto.pdf" TargetMode="External"/><Relationship Id="rId40" Type="http://schemas.openxmlformats.org/officeDocument/2006/relationships/hyperlink" Target="https://www.npc.gov.na/wp-content/uploads/2021/11/NDP5.pdf" TargetMode="External"/><Relationship Id="rId45" Type="http://schemas.openxmlformats.org/officeDocument/2006/relationships/hyperlink" Target="https://andp.unescwa.org/sites/default/files/2020-10/Lebanon%20Economic%20Vision.pdf" TargetMode="External"/><Relationship Id="rId53" Type="http://schemas.openxmlformats.org/officeDocument/2006/relationships/hyperlink" Target="https://faolex.fao.org/docs/pdf/Sen188171.pdf" TargetMode="External"/><Relationship Id="rId58" Type="http://schemas.openxmlformats.org/officeDocument/2006/relationships/hyperlink" Target="https://www.bundesregierung.de/resource/blob/975226/455740/260a9307085b9c7ef7543672f2147fe8/2017-06-20-langfassung-n-en-data.pdf?download=1" TargetMode="External"/><Relationship Id="rId5" Type="http://schemas.openxmlformats.org/officeDocument/2006/relationships/hyperlink" Target="https://www.pkc.gov.lv/en/national-development-planning" TargetMode="External"/><Relationship Id="rId61" Type="http://schemas.openxmlformats.org/officeDocument/2006/relationships/hyperlink" Target="https://policy.asiapacificenergy.org/sites/default/files/Sixth%20Five-Year%20Development%20Plan%20%282016-2021%29%20%28FA%29.pdf" TargetMode="External"/><Relationship Id="rId19" Type="http://schemas.openxmlformats.org/officeDocument/2006/relationships/hyperlink" Target="https://observatorioplanificacion.cepal.org/sites/default/files/plan/files/PNPSP-Plan%20Nacional%20Plurianual%20del%20Sector%20P&#250;blico.pdf" TargetMode="External"/><Relationship Id="rId14" Type="http://schemas.openxmlformats.org/officeDocument/2006/relationships/hyperlink" Target="https://observatorioplanificacion.cepal.org/sites/default/files/plan/files/Plan%2Bde%2Bgobierno%2BAD%2B2022-2026%2B%282%29.pdf" TargetMode="External"/><Relationship Id="rId22" Type="http://schemas.openxmlformats.org/officeDocument/2006/relationships/hyperlink" Target="https://observatorioplanificacion.cepal.org/sites/default/files/plan/files/efd-2020-2031_v2_1.pdf" TargetMode="External"/><Relationship Id="rId27" Type="http://schemas.openxmlformats.org/officeDocument/2006/relationships/hyperlink" Target="https://observatorioplanificacion.cepal.org/sites/default/files/plan/files/Venezuela_Plan%20de%20la%20Patria%202019-2025%20%282019%29.pdf" TargetMode="External"/><Relationship Id="rId30" Type="http://schemas.openxmlformats.org/officeDocument/2006/relationships/hyperlink" Target="https://observatorioplanificacion.cepal.org/sites/default/files/plan/files/Uruguay_Estrategia_Desarrollo_2050.pdf" TargetMode="External"/><Relationship Id="rId35" Type="http://schemas.openxmlformats.org/officeDocument/2006/relationships/hyperlink" Target="https://observatorioplanificacion.cepal.org/sites/default/files/plan/files/ELSAL.pdf" TargetMode="External"/><Relationship Id="rId43" Type="http://schemas.openxmlformats.org/officeDocument/2006/relationships/hyperlink" Target="https://andp.unescwa.org/sites/default/files/2020-09/Plan%20d%27Action%20du%20Gouvernement%20pour%20la%20Mise%20en%20&#338;uvre%20du%20Programme%20du%20President%20de%20la%20Republique%202017.pdf" TargetMode="External"/><Relationship Id="rId48" Type="http://schemas.openxmlformats.org/officeDocument/2006/relationships/hyperlink" Target="https://www.sh.gov.zm/wp-content/uploads/2022/09/EIGHTH-NATIONAL-DEVELOPMENT-PLAN-2022-2026-05-07-2022.pdf" TargetMode="External"/><Relationship Id="rId56" Type="http://schemas.openxmlformats.org/officeDocument/2006/relationships/hyperlink" Target="https://u.ae/en/about-the-uae/strategies-initiatives-and-awards/strategies-plans-and-visions/innovation-and-future-shaping/we-the-uae-2031-vision" TargetMode="External"/><Relationship Id="rId8" Type="http://schemas.openxmlformats.org/officeDocument/2006/relationships/hyperlink" Target="https://www.google.com/url?sa=t&amp;rct=j&amp;q=&amp;esrc=s&amp;source=web&amp;cd=&amp;ved=2ahUKEwi1vLeN5K2EAxX7WEEAHV_QDH8QFnoECDEQAQ&amp;url=https%3A%2F%2Fassets.gov.ie%2F200358%2Fa36dd274-736c-4d04-8879-b158e8b95029.pdf&amp;usg=AOvVaw1TZxsyMgbeD0GDiaduxhKd&amp;opi=89978449" TargetMode="External"/><Relationship Id="rId51" Type="http://schemas.openxmlformats.org/officeDocument/2006/relationships/hyperlink" Target="https://www.regjeringen.no/globalassets/departementene/ud/vedlegg/utvikling/sdg_rapport_full_en.pdf" TargetMode="External"/><Relationship Id="rId3" Type="http://schemas.openxmlformats.org/officeDocument/2006/relationships/hyperlink" Target="https://www.government.se/contentassets/52ae212bd7964d9d9ed10f329226f92d/swedens-national-reform-programme-2022.pdf" TargetMode="External"/><Relationship Id="rId12" Type="http://schemas.openxmlformats.org/officeDocument/2006/relationships/hyperlink" Target="https://observatorioplanificacion.cepal.org/sites/default/files/plan/files/PERU%20Plan%20Estrat&#233;gico%20de%20Desarrollo%20Nacional%20al%202050%20-%20versi&#243;n%20sin%20diagramar.pdf" TargetMode="External"/><Relationship Id="rId17" Type="http://schemas.openxmlformats.org/officeDocument/2006/relationships/hyperlink" Target="https://observatorioplanificacion.cepal.org/sites/default/files/plan/files/PNCL-DH_2022-2026%2819Jul21%29_0.pdf" TargetMode="External"/><Relationship Id="rId25" Type="http://schemas.openxmlformats.org/officeDocument/2006/relationships/hyperlink" Target="https://observatorioplanificacion.cepal.org/sites/default/files/plan/files/FOLLETO%20PNDES%20%20FINAL%20est&#225;%20en%20planificaci&#243;n_0.pdf" TargetMode="External"/><Relationship Id="rId33" Type="http://schemas.openxmlformats.org/officeDocument/2006/relationships/hyperlink" Target="https://observatorioplanificacion.cepal.org/sites/default/files/plan/files/ArgentinaObjetivosdeGobierno.pdf" TargetMode="External"/><Relationship Id="rId38" Type="http://schemas.openxmlformats.org/officeDocument/2006/relationships/hyperlink" Target="https://observatorioplanificacion.cepal.org/sites/default/files/plan/files/SanVicenteylasgranadinascompleto.pdf" TargetMode="External"/><Relationship Id="rId46" Type="http://schemas.openxmlformats.org/officeDocument/2006/relationships/hyperlink" Target="https://andp.unescwa.org/sites/default/files/2020-10/The%20Twenty-Five-Year%20National%20Strategy%20%28Vision%202031%29.pdf" TargetMode="External"/><Relationship Id="rId59" Type="http://schemas.openxmlformats.org/officeDocument/2006/relationships/hyperlink" Target="https://www.nesdc.go.th/article_attach/article_file_20230615134223.pdf" TargetMode="External"/><Relationship Id="rId20" Type="http://schemas.openxmlformats.org/officeDocument/2006/relationships/hyperlink" Target="https://observatorioplanificacion.cepal.org/sites/default/files/plan/files/PDES_2021-2025a_compressed_0.pdf" TargetMode="External"/><Relationship Id="rId41" Type="http://schemas.openxmlformats.org/officeDocument/2006/relationships/hyperlink" Target="https://thinkpacific.com/app/uploads/2020/06/Fijian-Government-National-Development-Plan-min.pdf" TargetMode="External"/><Relationship Id="rId54" Type="http://schemas.openxmlformats.org/officeDocument/2006/relationships/hyperlink" Target="https://djiboutiembassykuwait.net/assets/files/djibouti-2035-en.pdf" TargetMode="External"/><Relationship Id="rId1" Type="http://schemas.openxmlformats.org/officeDocument/2006/relationships/hyperlink" Target="https://um.fi/goals-and-principles-of-finland-s-development-policy" TargetMode="External"/><Relationship Id="rId6" Type="http://schemas.openxmlformats.org/officeDocument/2006/relationships/hyperlink" Target="http://timor-leste.gov.tl/wp-content/uploads/2011/07/Timor-Leste-Strategic-Plan-2011-20301.pdf" TargetMode="External"/><Relationship Id="rId15" Type="http://schemas.openxmlformats.org/officeDocument/2006/relationships/hyperlink" Target="https://observatorioplanificacion.cepal.org/sites/default/files/plan/files/PLAN-DE-GOBIERNO-XIOMARA-CASTRO_0.pdf" TargetMode="External"/><Relationship Id="rId23" Type="http://schemas.openxmlformats.org/officeDocument/2006/relationships/hyperlink" Target="https://observatorioplanificacion.cepal.org/sites/default/files/plan/files/GRANADA-NSDP20202035.pdf" TargetMode="External"/><Relationship Id="rId28" Type="http://schemas.openxmlformats.org/officeDocument/2006/relationships/hyperlink" Target="https://observatorioplanificacion.cepal.org/sites/default/files/plan/files/Belice%20National%20Development%20Framework%202010%202030_0.pdf" TargetMode="External"/><Relationship Id="rId36" Type="http://schemas.openxmlformats.org/officeDocument/2006/relationships/hyperlink" Target="https://observatorioplanificacion.cepal.org/en/plans?page=4" TargetMode="External"/><Relationship Id="rId49" Type="http://schemas.openxmlformats.org/officeDocument/2006/relationships/hyperlink" Target="https://www.mase.gov.it/sites/default/files/archivio/allegati/sviluppo_sostenibile/Italy_in_a_glance_VNR.pdf" TargetMode="External"/><Relationship Id="rId57" Type="http://schemas.openxmlformats.org/officeDocument/2006/relationships/hyperlink" Target="https://www.mlit.go.jp/kokudokeikaku/zs5-e/index.html" TargetMode="External"/><Relationship Id="rId10" Type="http://schemas.openxmlformats.org/officeDocument/2006/relationships/hyperlink" Target="https://observatorioplanificacion.cepal.org/sites/default/files/plan/files/Programa%20de%20Gobierno%20Gustavo%20Petro_.pdf" TargetMode="External"/><Relationship Id="rId31" Type="http://schemas.openxmlformats.org/officeDocument/2006/relationships/hyperlink" Target="https://observatorioplanificacion.cepal.org/en/plans?page=3" TargetMode="External"/><Relationship Id="rId44" Type="http://schemas.openxmlformats.org/officeDocument/2006/relationships/hyperlink" Target="https://andp.unescwa.org/sites/default/files/2020-09/Sustainable%20Development%20Strategy%20%28SDS%29%20-%20Egypt%20Vision%202030.pdf" TargetMode="External"/><Relationship Id="rId52" Type="http://schemas.openxmlformats.org/officeDocument/2006/relationships/hyperlink" Target="https://unece.org/sites/default/files/2022-12/UNECE_San%20Marino%20Declaration.pdf" TargetMode="External"/><Relationship Id="rId60" Type="http://schemas.openxmlformats.org/officeDocument/2006/relationships/hyperlink" Target="https://www.akorda.kz/en/addresses/addresses_of_president/address-by-the-president-of-the-republic-of-kazakhstan-leader-of-the-nation-nnazarbayev-strategy-kazakhstan-2050-new-political-course-of-the-established-state" TargetMode="External"/><Relationship Id="rId4" Type="http://schemas.openxmlformats.org/officeDocument/2006/relationships/hyperlink" Target="https://www.indonesia-investments.com/projects/government-development-plans/national-medium-term-development-plan-rpjmn-2010-2014/item307" TargetMode="External"/><Relationship Id="rId9" Type="http://schemas.openxmlformats.org/officeDocument/2006/relationships/hyperlink" Target="https://www.gov.za/sites/default/files/gcis_document/201409/ndp-2030-our-future-make-it-workr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dgs.un.org/publications/policy-brief-accelerating-2030-agenda-integration-aligning-national-development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7F9-E9D5-644D-8B60-E08CF33E8286}">
  <dimension ref="A1:F197"/>
  <sheetViews>
    <sheetView topLeftCell="A20" workbookViewId="0">
      <selection activeCell="C37" sqref="C37"/>
    </sheetView>
  </sheetViews>
  <sheetFormatPr baseColWidth="10" defaultRowHeight="15" x14ac:dyDescent="0.2"/>
  <cols>
    <col min="1" max="1" width="6.33203125" customWidth="1"/>
    <col min="5" max="5" width="41.83203125" customWidth="1"/>
    <col min="6" max="6" width="14.1640625" customWidth="1"/>
  </cols>
  <sheetData>
    <row r="1" spans="1:6" ht="43" x14ac:dyDescent="0.2">
      <c r="A1" s="4" t="s">
        <v>643</v>
      </c>
      <c r="B1" s="1" t="s">
        <v>0</v>
      </c>
      <c r="C1" s="1" t="s">
        <v>642</v>
      </c>
      <c r="D1" s="1" t="s">
        <v>0</v>
      </c>
      <c r="E1" s="1" t="s">
        <v>617</v>
      </c>
      <c r="F1" s="1" t="s">
        <v>641</v>
      </c>
    </row>
    <row r="2" spans="1:6" x14ac:dyDescent="0.2">
      <c r="A2" s="4" t="s">
        <v>644</v>
      </c>
      <c r="B2" t="s">
        <v>2</v>
      </c>
      <c r="C2" t="s">
        <v>3</v>
      </c>
      <c r="D2" t="s">
        <v>2</v>
      </c>
      <c r="E2" s="2" t="s">
        <v>390</v>
      </c>
      <c r="F2" t="str">
        <f t="shared" ref="F2:F3" si="0">CONCATENATE(A2,"_",B2,".pdf")</f>
        <v>002_SWE.pdf</v>
      </c>
    </row>
    <row r="3" spans="1:6" x14ac:dyDescent="0.2">
      <c r="A3" s="4" t="s">
        <v>645</v>
      </c>
      <c r="B3" t="s">
        <v>4</v>
      </c>
      <c r="C3" t="s">
        <v>5</v>
      </c>
      <c r="D3" t="s">
        <v>4</v>
      </c>
      <c r="E3" s="2" t="s">
        <v>390</v>
      </c>
      <c r="F3" t="str">
        <f t="shared" si="0"/>
        <v>003_CHE.pdf</v>
      </c>
    </row>
    <row r="4" spans="1:6" x14ac:dyDescent="0.2">
      <c r="A4" s="4" t="s">
        <v>646</v>
      </c>
      <c r="B4" t="s">
        <v>6</v>
      </c>
      <c r="C4" t="s">
        <v>7</v>
      </c>
      <c r="D4" t="s">
        <v>6</v>
      </c>
      <c r="F4" t="str">
        <f>CONCATENATE(A4,"_",B4,".pdf")</f>
        <v>004_NLD.pdf</v>
      </c>
    </row>
    <row r="5" spans="1:6" x14ac:dyDescent="0.2">
      <c r="A5" s="4" t="s">
        <v>647</v>
      </c>
      <c r="B5" t="s">
        <v>8</v>
      </c>
      <c r="C5" t="s">
        <v>9</v>
      </c>
      <c r="D5" t="s">
        <v>8</v>
      </c>
      <c r="E5" s="2" t="s">
        <v>388</v>
      </c>
      <c r="F5" t="str">
        <f t="shared" ref="F5:F68" si="1">CONCATENATE(A5,"_",B5,".pdf")</f>
        <v>005_FIN.pdf</v>
      </c>
    </row>
    <row r="6" spans="1:6" x14ac:dyDescent="0.2">
      <c r="A6" s="4" t="s">
        <v>648</v>
      </c>
      <c r="B6" t="s">
        <v>10</v>
      </c>
      <c r="C6" t="s">
        <v>11</v>
      </c>
      <c r="D6" t="s">
        <v>10</v>
      </c>
      <c r="E6" t="s">
        <v>462</v>
      </c>
      <c r="F6" t="str">
        <f t="shared" si="1"/>
        <v>006_BEN.pdf</v>
      </c>
    </row>
    <row r="7" spans="1:6" x14ac:dyDescent="0.2">
      <c r="A7" s="4" t="s">
        <v>649</v>
      </c>
      <c r="B7" t="s">
        <v>12</v>
      </c>
      <c r="C7" t="s">
        <v>13</v>
      </c>
      <c r="D7" t="s">
        <v>12</v>
      </c>
      <c r="F7" t="str">
        <f t="shared" si="1"/>
        <v>007_NOR.pdf</v>
      </c>
    </row>
    <row r="8" spans="1:6" x14ac:dyDescent="0.2">
      <c r="A8" s="4" t="s">
        <v>650</v>
      </c>
      <c r="B8" t="s">
        <v>14</v>
      </c>
      <c r="C8" t="s">
        <v>15</v>
      </c>
      <c r="D8" t="s">
        <v>14</v>
      </c>
      <c r="E8" s="2" t="s">
        <v>391</v>
      </c>
      <c r="F8" t="str">
        <f t="shared" si="1"/>
        <v>008_IDN.pdf</v>
      </c>
    </row>
    <row r="9" spans="1:6" x14ac:dyDescent="0.2">
      <c r="A9" s="4" t="s">
        <v>651</v>
      </c>
      <c r="B9" t="s">
        <v>16</v>
      </c>
      <c r="C9" t="s">
        <v>17</v>
      </c>
      <c r="D9" t="s">
        <v>16</v>
      </c>
      <c r="F9" t="str">
        <f t="shared" si="1"/>
        <v>009_AUT.pdf</v>
      </c>
    </row>
    <row r="10" spans="1:6" x14ac:dyDescent="0.2">
      <c r="A10" s="4" t="s">
        <v>652</v>
      </c>
      <c r="B10" t="s">
        <v>18</v>
      </c>
      <c r="C10" t="s">
        <v>19</v>
      </c>
      <c r="D10" t="s">
        <v>18</v>
      </c>
      <c r="E10" t="s">
        <v>504</v>
      </c>
      <c r="F10" t="str">
        <f t="shared" si="1"/>
        <v>010_DNK.pdf</v>
      </c>
    </row>
    <row r="11" spans="1:6" x14ac:dyDescent="0.2">
      <c r="A11" s="4" t="s">
        <v>653</v>
      </c>
      <c r="B11" t="s">
        <v>20</v>
      </c>
      <c r="C11" t="s">
        <v>21</v>
      </c>
      <c r="D11" t="s">
        <v>20</v>
      </c>
      <c r="E11" s="2" t="s">
        <v>505</v>
      </c>
      <c r="F11" t="str">
        <f t="shared" si="1"/>
        <v>011_ITA.pdf</v>
      </c>
    </row>
    <row r="12" spans="1:6" x14ac:dyDescent="0.2">
      <c r="A12" s="4" t="s">
        <v>654</v>
      </c>
      <c r="B12" t="s">
        <v>22</v>
      </c>
      <c r="C12" t="s">
        <v>23</v>
      </c>
      <c r="D12" t="s">
        <v>22</v>
      </c>
      <c r="E12" t="s">
        <v>506</v>
      </c>
      <c r="F12" t="str">
        <f t="shared" si="1"/>
        <v>012_PRT.pdf</v>
      </c>
    </row>
    <row r="13" spans="1:6" x14ac:dyDescent="0.2">
      <c r="A13" s="4" t="s">
        <v>655</v>
      </c>
      <c r="B13" t="s">
        <v>24</v>
      </c>
      <c r="C13" t="s">
        <v>25</v>
      </c>
      <c r="D13" t="s">
        <v>24</v>
      </c>
      <c r="E13" t="s">
        <v>507</v>
      </c>
      <c r="F13" t="str">
        <f t="shared" si="1"/>
        <v>013_ESP.pdf</v>
      </c>
    </row>
    <row r="14" spans="1:6" x14ac:dyDescent="0.2">
      <c r="A14" s="4" t="s">
        <v>656</v>
      </c>
      <c r="B14" t="s">
        <v>26</v>
      </c>
      <c r="C14" t="s">
        <v>27</v>
      </c>
      <c r="D14" t="s">
        <v>26</v>
      </c>
      <c r="E14" t="s">
        <v>467</v>
      </c>
      <c r="F14" t="str">
        <f t="shared" si="1"/>
        <v>014_JPN.pdf</v>
      </c>
    </row>
    <row r="15" spans="1:6" x14ac:dyDescent="0.2">
      <c r="A15" s="4" t="s">
        <v>657</v>
      </c>
      <c r="B15" t="s">
        <v>28</v>
      </c>
      <c r="C15" t="s">
        <v>29</v>
      </c>
      <c r="D15" t="s">
        <v>28</v>
      </c>
      <c r="E15" t="s">
        <v>508</v>
      </c>
      <c r="F15" t="str">
        <f t="shared" si="1"/>
        <v>015_DEU.pdf</v>
      </c>
    </row>
    <row r="16" spans="1:6" x14ac:dyDescent="0.2">
      <c r="A16" s="4" t="s">
        <v>658</v>
      </c>
      <c r="B16" t="s">
        <v>30</v>
      </c>
      <c r="C16" t="s">
        <v>31</v>
      </c>
      <c r="D16" t="s">
        <v>30</v>
      </c>
      <c r="E16" t="s">
        <v>509</v>
      </c>
      <c r="F16" t="str">
        <f t="shared" si="1"/>
        <v>016_BEL.pdf</v>
      </c>
    </row>
    <row r="17" spans="1:6" x14ac:dyDescent="0.2">
      <c r="A17" s="4" t="s">
        <v>659</v>
      </c>
      <c r="B17" t="s">
        <v>32</v>
      </c>
      <c r="C17" t="s">
        <v>33</v>
      </c>
      <c r="D17" t="s">
        <v>32</v>
      </c>
      <c r="E17" t="s">
        <v>512</v>
      </c>
      <c r="F17" t="str">
        <f t="shared" si="1"/>
        <v>017_CAN.pdf</v>
      </c>
    </row>
    <row r="18" spans="1:6" x14ac:dyDescent="0.2">
      <c r="A18" s="4" t="s">
        <v>660</v>
      </c>
      <c r="B18" t="s">
        <v>34</v>
      </c>
      <c r="C18" t="s">
        <v>35</v>
      </c>
      <c r="D18" t="s">
        <v>34</v>
      </c>
      <c r="E18" t="s">
        <v>513</v>
      </c>
      <c r="F18" t="str">
        <f t="shared" si="1"/>
        <v>018_GRC.pdf</v>
      </c>
    </row>
    <row r="19" spans="1:6" x14ac:dyDescent="0.2">
      <c r="A19" s="4" t="s">
        <v>661</v>
      </c>
      <c r="B19" t="s">
        <v>36</v>
      </c>
      <c r="C19" t="s">
        <v>37</v>
      </c>
      <c r="D19" t="s">
        <v>36</v>
      </c>
      <c r="E19" s="2" t="s">
        <v>420</v>
      </c>
      <c r="F19" t="str">
        <f t="shared" si="1"/>
        <v>019_MEX.pdf</v>
      </c>
    </row>
    <row r="20" spans="1:6" x14ac:dyDescent="0.2">
      <c r="A20" s="4" t="s">
        <v>662</v>
      </c>
      <c r="B20" t="s">
        <v>38</v>
      </c>
      <c r="C20" t="s">
        <v>39</v>
      </c>
      <c r="D20" t="s">
        <v>38</v>
      </c>
      <c r="E20" s="2" t="s">
        <v>400</v>
      </c>
      <c r="F20" t="str">
        <f t="shared" si="1"/>
        <v>020_COL.pdf</v>
      </c>
    </row>
    <row r="21" spans="1:6" x14ac:dyDescent="0.2">
      <c r="A21" s="4" t="s">
        <v>663</v>
      </c>
      <c r="B21" t="s">
        <v>40</v>
      </c>
      <c r="C21" t="s">
        <v>41</v>
      </c>
      <c r="D21" t="s">
        <v>40</v>
      </c>
      <c r="E21" s="2" t="s">
        <v>398</v>
      </c>
      <c r="F21" t="str">
        <f t="shared" si="1"/>
        <v>021_IRL.pdf</v>
      </c>
    </row>
    <row r="22" spans="1:6" x14ac:dyDescent="0.2">
      <c r="A22" s="4" t="s">
        <v>664</v>
      </c>
      <c r="B22" t="s">
        <v>42</v>
      </c>
      <c r="C22" t="s">
        <v>43</v>
      </c>
      <c r="D22" t="s">
        <v>42</v>
      </c>
      <c r="E22" t="s">
        <v>514</v>
      </c>
      <c r="F22" t="str">
        <f t="shared" si="1"/>
        <v>022_SVN.pdf</v>
      </c>
    </row>
    <row r="23" spans="1:6" x14ac:dyDescent="0.2">
      <c r="A23" s="4" t="s">
        <v>665</v>
      </c>
      <c r="B23" t="s">
        <v>44</v>
      </c>
      <c r="C23" t="s">
        <v>45</v>
      </c>
      <c r="D23" t="s">
        <v>44</v>
      </c>
      <c r="E23" t="s">
        <v>484</v>
      </c>
      <c r="F23" t="str">
        <f t="shared" si="1"/>
        <v>023_GHA.pdf</v>
      </c>
    </row>
    <row r="24" spans="1:6" x14ac:dyDescent="0.2">
      <c r="A24" s="4" t="s">
        <v>666</v>
      </c>
      <c r="B24" t="s">
        <v>46</v>
      </c>
      <c r="C24" t="s">
        <v>47</v>
      </c>
      <c r="D24" t="s">
        <v>46</v>
      </c>
      <c r="E24" t="s">
        <v>515</v>
      </c>
      <c r="F24" t="str">
        <f t="shared" si="1"/>
        <v>024_CYP.pdf</v>
      </c>
    </row>
    <row r="25" spans="1:6" x14ac:dyDescent="0.2">
      <c r="A25" s="4" t="s">
        <v>667</v>
      </c>
      <c r="B25" t="s">
        <v>48</v>
      </c>
      <c r="C25" t="s">
        <v>49</v>
      </c>
      <c r="D25" t="s">
        <v>48</v>
      </c>
      <c r="E25" s="2" t="s">
        <v>406</v>
      </c>
      <c r="F25" t="str">
        <f t="shared" si="1"/>
        <v>025_CHL.pdf</v>
      </c>
    </row>
    <row r="26" spans="1:6" x14ac:dyDescent="0.2">
      <c r="A26" s="4" t="s">
        <v>668</v>
      </c>
      <c r="B26" t="s">
        <v>50</v>
      </c>
      <c r="C26" t="s">
        <v>51</v>
      </c>
      <c r="D26" t="s">
        <v>50</v>
      </c>
      <c r="E26" t="s">
        <v>476</v>
      </c>
      <c r="F26" t="str">
        <f t="shared" si="1"/>
        <v>026_THA.pdf</v>
      </c>
    </row>
    <row r="27" spans="1:6" x14ac:dyDescent="0.2">
      <c r="A27" s="4" t="s">
        <v>669</v>
      </c>
      <c r="B27" t="s">
        <v>52</v>
      </c>
      <c r="C27" t="s">
        <v>53</v>
      </c>
      <c r="D27" t="s">
        <v>52</v>
      </c>
      <c r="E27" t="s">
        <v>516</v>
      </c>
      <c r="F27" t="str">
        <f t="shared" si="1"/>
        <v>027_CZE.pdf</v>
      </c>
    </row>
    <row r="28" spans="1:6" x14ac:dyDescent="0.2">
      <c r="A28" s="4" t="s">
        <v>670</v>
      </c>
      <c r="B28" t="s">
        <v>54</v>
      </c>
      <c r="C28" t="s">
        <v>55</v>
      </c>
      <c r="D28" t="s">
        <v>54</v>
      </c>
      <c r="E28" s="2" t="s">
        <v>443</v>
      </c>
      <c r="F28" t="str">
        <f t="shared" si="1"/>
        <v>028_EGY.pdf</v>
      </c>
    </row>
    <row r="29" spans="1:6" x14ac:dyDescent="0.2">
      <c r="A29" s="4" t="s">
        <v>671</v>
      </c>
      <c r="B29" t="s">
        <v>56</v>
      </c>
      <c r="C29" t="s">
        <v>57</v>
      </c>
      <c r="D29" t="s">
        <v>56</v>
      </c>
      <c r="E29" t="s">
        <v>517</v>
      </c>
      <c r="F29" t="str">
        <f t="shared" si="1"/>
        <v>029_ROU.pdf</v>
      </c>
    </row>
    <row r="30" spans="1:6" x14ac:dyDescent="0.2">
      <c r="A30" s="4" t="s">
        <v>672</v>
      </c>
      <c r="B30" t="s">
        <v>58</v>
      </c>
      <c r="C30" t="s">
        <v>59</v>
      </c>
      <c r="D30" t="s">
        <v>58</v>
      </c>
      <c r="E30" t="s">
        <v>518</v>
      </c>
      <c r="F30" t="str">
        <f t="shared" si="1"/>
        <v>030_SEN.pdf</v>
      </c>
    </row>
    <row r="31" spans="1:6" x14ac:dyDescent="0.2">
      <c r="A31" s="4" t="s">
        <v>673</v>
      </c>
      <c r="B31" t="s">
        <v>60</v>
      </c>
      <c r="C31" t="s">
        <v>61</v>
      </c>
      <c r="D31" t="s">
        <v>60</v>
      </c>
      <c r="E31" t="s">
        <v>474</v>
      </c>
      <c r="F31" t="str">
        <f t="shared" si="1"/>
        <v>031_NGA.pdf</v>
      </c>
    </row>
    <row r="32" spans="1:6" x14ac:dyDescent="0.2">
      <c r="A32" s="4" t="s">
        <v>674</v>
      </c>
      <c r="B32" t="s">
        <v>62</v>
      </c>
      <c r="C32" t="s">
        <v>63</v>
      </c>
      <c r="D32" t="s">
        <v>62</v>
      </c>
      <c r="F32" t="str">
        <f t="shared" si="1"/>
        <v>032_FRA.pdf</v>
      </c>
    </row>
    <row r="33" spans="1:6" x14ac:dyDescent="0.2">
      <c r="A33" s="4" t="s">
        <v>675</v>
      </c>
      <c r="B33" t="s">
        <v>64</v>
      </c>
      <c r="C33" t="s">
        <v>65</v>
      </c>
      <c r="D33" t="s">
        <v>64</v>
      </c>
      <c r="E33" s="2" t="s">
        <v>432</v>
      </c>
      <c r="F33" t="str">
        <f t="shared" si="1"/>
        <v>033_BRB.pdf</v>
      </c>
    </row>
    <row r="34" spans="1:6" x14ac:dyDescent="0.2">
      <c r="A34" s="4" t="s">
        <v>676</v>
      </c>
      <c r="B34" t="s">
        <v>66</v>
      </c>
      <c r="C34" t="s">
        <v>67</v>
      </c>
      <c r="D34" t="s">
        <v>66</v>
      </c>
      <c r="E34" t="s">
        <v>520</v>
      </c>
      <c r="F34" t="str">
        <f t="shared" si="1"/>
        <v>034_KEN.pdf</v>
      </c>
    </row>
    <row r="35" spans="1:6" x14ac:dyDescent="0.2">
      <c r="A35" s="4" t="s">
        <v>677</v>
      </c>
      <c r="B35" t="s">
        <v>68</v>
      </c>
      <c r="C35" t="s">
        <v>69</v>
      </c>
      <c r="D35" t="s">
        <v>68</v>
      </c>
      <c r="E35" t="s">
        <v>489</v>
      </c>
      <c r="F35" t="str">
        <f t="shared" si="1"/>
        <v>035_PHL.pdf</v>
      </c>
    </row>
    <row r="36" spans="1:6" x14ac:dyDescent="0.2">
      <c r="A36" s="4" t="s">
        <v>678</v>
      </c>
      <c r="B36" t="s">
        <v>70</v>
      </c>
      <c r="C36" t="s">
        <v>71</v>
      </c>
      <c r="D36" t="s">
        <v>70</v>
      </c>
      <c r="E36" t="s">
        <v>409</v>
      </c>
      <c r="F36" t="str">
        <f t="shared" si="1"/>
        <v>036_ECU.pdf</v>
      </c>
    </row>
    <row r="37" spans="1:6" x14ac:dyDescent="0.2">
      <c r="A37" s="4" t="s">
        <v>679</v>
      </c>
      <c r="B37" t="s">
        <v>72</v>
      </c>
      <c r="C37" t="s">
        <v>73</v>
      </c>
      <c r="D37" t="s">
        <v>72</v>
      </c>
      <c r="E37" t="s">
        <v>471</v>
      </c>
      <c r="F37" t="str">
        <f t="shared" si="1"/>
        <v>037_MYS.pdf</v>
      </c>
    </row>
    <row r="38" spans="1:6" x14ac:dyDescent="0.2">
      <c r="A38" s="4" t="s">
        <v>680</v>
      </c>
      <c r="B38" t="s">
        <v>74</v>
      </c>
      <c r="C38" t="s">
        <v>75</v>
      </c>
      <c r="D38" t="s">
        <v>74</v>
      </c>
      <c r="E38" s="2" t="s">
        <v>451</v>
      </c>
      <c r="F38" t="str">
        <f t="shared" si="1"/>
        <v>038_SAU.pdf</v>
      </c>
    </row>
    <row r="39" spans="1:6" x14ac:dyDescent="0.2">
      <c r="A39" s="4" t="s">
        <v>681</v>
      </c>
      <c r="B39" t="s">
        <v>76</v>
      </c>
      <c r="C39" t="s">
        <v>77</v>
      </c>
      <c r="D39" t="s">
        <v>76</v>
      </c>
      <c r="E39" t="s">
        <v>478</v>
      </c>
      <c r="F39" t="str">
        <f t="shared" si="1"/>
        <v>039_PAK.pdf</v>
      </c>
    </row>
    <row r="40" spans="1:6" x14ac:dyDescent="0.2">
      <c r="A40" s="4" t="s">
        <v>682</v>
      </c>
      <c r="B40" t="s">
        <v>78</v>
      </c>
      <c r="C40" t="s">
        <v>79</v>
      </c>
      <c r="D40" t="s">
        <v>78</v>
      </c>
      <c r="E40" s="2" t="s">
        <v>427</v>
      </c>
      <c r="F40" t="str">
        <f t="shared" si="1"/>
        <v>040_ARG.pdf</v>
      </c>
    </row>
    <row r="41" spans="1:6" x14ac:dyDescent="0.2">
      <c r="A41" s="4" t="s">
        <v>683</v>
      </c>
      <c r="B41" t="s">
        <v>80</v>
      </c>
      <c r="C41" t="s">
        <v>81</v>
      </c>
      <c r="D41" t="s">
        <v>80</v>
      </c>
      <c r="E41" t="s">
        <v>448</v>
      </c>
      <c r="F41" t="str">
        <f t="shared" si="1"/>
        <v>041_MAR.pdf</v>
      </c>
    </row>
    <row r="42" spans="1:6" x14ac:dyDescent="0.2">
      <c r="A42" s="4" t="s">
        <v>684</v>
      </c>
      <c r="B42" t="s">
        <v>82</v>
      </c>
      <c r="C42" t="s">
        <v>83</v>
      </c>
      <c r="D42" t="s">
        <v>82</v>
      </c>
      <c r="E42" t="s">
        <v>521</v>
      </c>
      <c r="F42" t="str">
        <f t="shared" si="1"/>
        <v>042_GEO.pdf</v>
      </c>
    </row>
    <row r="43" spans="1:6" x14ac:dyDescent="0.2">
      <c r="A43" s="4" t="s">
        <v>685</v>
      </c>
      <c r="B43" t="s">
        <v>84</v>
      </c>
      <c r="C43" t="s">
        <v>85</v>
      </c>
      <c r="D43" t="s">
        <v>84</v>
      </c>
      <c r="E43" t="s">
        <v>473</v>
      </c>
      <c r="F43" t="str">
        <f t="shared" si="1"/>
        <v>043_UGA.pdf</v>
      </c>
    </row>
    <row r="44" spans="1:6" x14ac:dyDescent="0.2">
      <c r="A44" s="4" t="s">
        <v>686</v>
      </c>
      <c r="B44" t="s">
        <v>86</v>
      </c>
      <c r="C44" t="s">
        <v>87</v>
      </c>
      <c r="D44" t="s">
        <v>86</v>
      </c>
      <c r="E44" t="s">
        <v>522</v>
      </c>
      <c r="F44" t="str">
        <f t="shared" si="1"/>
        <v>044_WSM.pdf</v>
      </c>
    </row>
    <row r="45" spans="1:6" x14ac:dyDescent="0.2">
      <c r="A45" s="4" t="s">
        <v>687</v>
      </c>
      <c r="B45" t="s">
        <v>88</v>
      </c>
      <c r="C45" t="s">
        <v>89</v>
      </c>
      <c r="D45" t="s">
        <v>88</v>
      </c>
      <c r="E45" t="s">
        <v>523</v>
      </c>
      <c r="F45" t="str">
        <f t="shared" si="1"/>
        <v>045_POL.pdf</v>
      </c>
    </row>
    <row r="46" spans="1:6" x14ac:dyDescent="0.2">
      <c r="A46" s="4" t="s">
        <v>688</v>
      </c>
      <c r="B46" t="s">
        <v>90</v>
      </c>
      <c r="C46" t="s">
        <v>91</v>
      </c>
      <c r="D46" t="s">
        <v>90</v>
      </c>
      <c r="E46" t="s">
        <v>524</v>
      </c>
      <c r="F46" t="str">
        <f t="shared" si="1"/>
        <v>046_BGR.pdf</v>
      </c>
    </row>
    <row r="47" spans="1:6" x14ac:dyDescent="0.2">
      <c r="A47" s="4" t="s">
        <v>689</v>
      </c>
      <c r="B47" t="s">
        <v>92</v>
      </c>
      <c r="C47" t="s">
        <v>93</v>
      </c>
      <c r="D47" t="s">
        <v>92</v>
      </c>
      <c r="E47" t="s">
        <v>525</v>
      </c>
      <c r="F47" t="str">
        <f t="shared" si="1"/>
        <v>047_TUR.pdf</v>
      </c>
    </row>
    <row r="48" spans="1:6" x14ac:dyDescent="0.2">
      <c r="A48" s="4" t="s">
        <v>690</v>
      </c>
      <c r="B48" t="s">
        <v>94</v>
      </c>
      <c r="C48" t="s">
        <v>95</v>
      </c>
      <c r="D48" t="s">
        <v>94</v>
      </c>
      <c r="E48" s="2" t="s">
        <v>411</v>
      </c>
      <c r="F48" t="str">
        <f t="shared" si="1"/>
        <v>048_JAM.pdf</v>
      </c>
    </row>
    <row r="49" spans="1:6" x14ac:dyDescent="0.2">
      <c r="A49" s="4" t="s">
        <v>691</v>
      </c>
      <c r="B49" t="s">
        <v>96</v>
      </c>
      <c r="C49" t="s">
        <v>97</v>
      </c>
      <c r="D49" t="s">
        <v>96</v>
      </c>
      <c r="E49" t="s">
        <v>475</v>
      </c>
      <c r="F49" t="str">
        <f t="shared" si="1"/>
        <v>049_KAZ.pdf</v>
      </c>
    </row>
    <row r="50" spans="1:6" x14ac:dyDescent="0.2">
      <c r="A50" s="4" t="s">
        <v>692</v>
      </c>
      <c r="B50" t="s">
        <v>98</v>
      </c>
      <c r="C50" t="s">
        <v>99</v>
      </c>
      <c r="D50" t="s">
        <v>98</v>
      </c>
      <c r="E50" t="s">
        <v>526</v>
      </c>
      <c r="F50" t="str">
        <f t="shared" si="1"/>
        <v>050_BGD.pdf</v>
      </c>
    </row>
    <row r="51" spans="1:6" x14ac:dyDescent="0.2">
      <c r="A51" s="4" t="s">
        <v>693</v>
      </c>
      <c r="B51" t="s">
        <v>100</v>
      </c>
      <c r="C51" t="s">
        <v>101</v>
      </c>
      <c r="D51" t="s">
        <v>100</v>
      </c>
      <c r="E51" t="s">
        <v>527</v>
      </c>
      <c r="F51" t="str">
        <f t="shared" si="1"/>
        <v>051_CHN.pdf</v>
      </c>
    </row>
    <row r="52" spans="1:6" x14ac:dyDescent="0.2">
      <c r="A52" s="4" t="s">
        <v>694</v>
      </c>
      <c r="B52" t="s">
        <v>102</v>
      </c>
      <c r="C52" t="s">
        <v>103</v>
      </c>
      <c r="D52" t="s">
        <v>102</v>
      </c>
      <c r="E52" t="s">
        <v>529</v>
      </c>
      <c r="F52" t="str">
        <f t="shared" si="1"/>
        <v>052_SRB.pdf</v>
      </c>
    </row>
    <row r="53" spans="1:6" x14ac:dyDescent="0.2">
      <c r="A53" s="4" t="s">
        <v>695</v>
      </c>
      <c r="B53" t="s">
        <v>104</v>
      </c>
      <c r="C53" t="s">
        <v>105</v>
      </c>
      <c r="D53" t="s">
        <v>104</v>
      </c>
      <c r="E53" t="s">
        <v>530</v>
      </c>
      <c r="F53" t="str">
        <f t="shared" si="1"/>
        <v>053_NZL.pdf</v>
      </c>
    </row>
    <row r="54" spans="1:6" x14ac:dyDescent="0.2">
      <c r="A54" s="4" t="s">
        <v>696</v>
      </c>
      <c r="B54" t="s">
        <v>106</v>
      </c>
      <c r="C54" t="s">
        <v>107</v>
      </c>
      <c r="D54" t="s">
        <v>106</v>
      </c>
      <c r="E54" t="s">
        <v>531</v>
      </c>
      <c r="F54" t="str">
        <f t="shared" si="1"/>
        <v>054_KOR.pdf</v>
      </c>
    </row>
    <row r="55" spans="1:6" x14ac:dyDescent="0.2">
      <c r="A55" s="4" t="s">
        <v>697</v>
      </c>
      <c r="B55" t="s">
        <v>108</v>
      </c>
      <c r="C55" t="s">
        <v>109</v>
      </c>
      <c r="D55" t="s">
        <v>108</v>
      </c>
      <c r="E55" s="2" t="s">
        <v>394</v>
      </c>
      <c r="F55" t="str">
        <f t="shared" si="1"/>
        <v>055_GBR.pdf</v>
      </c>
    </row>
    <row r="56" spans="1:6" x14ac:dyDescent="0.2">
      <c r="A56" s="4" t="s">
        <v>698</v>
      </c>
      <c r="B56" t="s">
        <v>110</v>
      </c>
      <c r="C56" t="s">
        <v>111</v>
      </c>
      <c r="D56" t="s">
        <v>110</v>
      </c>
      <c r="E56" t="s">
        <v>483</v>
      </c>
      <c r="F56" t="str">
        <f t="shared" si="1"/>
        <v>056_SYC.pdf</v>
      </c>
    </row>
    <row r="57" spans="1:6" x14ac:dyDescent="0.2">
      <c r="A57" s="4" t="s">
        <v>699</v>
      </c>
      <c r="B57" t="s">
        <v>112</v>
      </c>
      <c r="C57" t="s">
        <v>113</v>
      </c>
      <c r="D57" t="s">
        <v>112</v>
      </c>
      <c r="E57" s="2" t="s">
        <v>399</v>
      </c>
      <c r="F57" t="str">
        <f t="shared" si="1"/>
        <v>057_ZAF.pdf</v>
      </c>
    </row>
    <row r="58" spans="1:6" x14ac:dyDescent="0.2">
      <c r="A58" s="4" t="s">
        <v>700</v>
      </c>
      <c r="B58" t="s">
        <v>114</v>
      </c>
      <c r="C58" t="s">
        <v>115</v>
      </c>
      <c r="D58" t="s">
        <v>114</v>
      </c>
      <c r="E58" t="s">
        <v>532</v>
      </c>
      <c r="F58" t="str">
        <f t="shared" si="1"/>
        <v>058_HUN.pdf</v>
      </c>
    </row>
    <row r="59" spans="1:6" x14ac:dyDescent="0.2">
      <c r="A59" s="4" t="s">
        <v>701</v>
      </c>
      <c r="B59" t="s">
        <v>116</v>
      </c>
      <c r="C59" t="s">
        <v>117</v>
      </c>
      <c r="D59" t="s">
        <v>116</v>
      </c>
      <c r="E59" t="s">
        <v>534</v>
      </c>
      <c r="F59" t="str">
        <f t="shared" si="1"/>
        <v>059_VNM.pdf</v>
      </c>
    </row>
    <row r="60" spans="1:6" x14ac:dyDescent="0.2">
      <c r="A60" s="4" t="s">
        <v>702</v>
      </c>
      <c r="B60" t="s">
        <v>118</v>
      </c>
      <c r="C60" t="s">
        <v>119</v>
      </c>
      <c r="D60" t="s">
        <v>118</v>
      </c>
      <c r="E60" t="s">
        <v>535</v>
      </c>
      <c r="F60" t="str">
        <f t="shared" si="1"/>
        <v>060_ETH.pdf</v>
      </c>
    </row>
    <row r="61" spans="1:6" x14ac:dyDescent="0.2">
      <c r="A61" s="4" t="s">
        <v>703</v>
      </c>
      <c r="B61" t="s">
        <v>120</v>
      </c>
      <c r="C61" t="s">
        <v>121</v>
      </c>
      <c r="D61" t="s">
        <v>120</v>
      </c>
      <c r="E61" t="s">
        <v>536</v>
      </c>
      <c r="F61" t="str">
        <f t="shared" si="1"/>
        <v>061_COD.pdf</v>
      </c>
    </row>
    <row r="62" spans="1:6" x14ac:dyDescent="0.2">
      <c r="A62" s="4" t="s">
        <v>704</v>
      </c>
      <c r="B62" t="s">
        <v>122</v>
      </c>
      <c r="C62" t="s">
        <v>123</v>
      </c>
      <c r="D62" t="s">
        <v>122</v>
      </c>
      <c r="E62" s="2" t="s">
        <v>404</v>
      </c>
      <c r="F62" t="str">
        <f t="shared" si="1"/>
        <v>062_PER.pdf</v>
      </c>
    </row>
    <row r="63" spans="1:6" x14ac:dyDescent="0.2">
      <c r="A63" s="4" t="s">
        <v>705</v>
      </c>
      <c r="B63" t="s">
        <v>124</v>
      </c>
      <c r="C63" t="s">
        <v>125</v>
      </c>
      <c r="D63" t="s">
        <v>124</v>
      </c>
      <c r="E63" t="s">
        <v>537</v>
      </c>
      <c r="F63" t="str">
        <f t="shared" si="1"/>
        <v>063_ALB.pdf</v>
      </c>
    </row>
    <row r="64" spans="1:6" x14ac:dyDescent="0.2">
      <c r="A64" s="4" t="s">
        <v>706</v>
      </c>
      <c r="B64" t="s">
        <v>126</v>
      </c>
      <c r="C64" t="s">
        <v>127</v>
      </c>
      <c r="D64" t="s">
        <v>126</v>
      </c>
      <c r="E64" t="s">
        <v>538</v>
      </c>
      <c r="F64" t="str">
        <f t="shared" si="1"/>
        <v>064_UKR.pdf</v>
      </c>
    </row>
    <row r="65" spans="1:6" x14ac:dyDescent="0.2">
      <c r="A65" s="4" t="s">
        <v>707</v>
      </c>
      <c r="B65" t="s">
        <v>128</v>
      </c>
      <c r="C65" t="s">
        <v>129</v>
      </c>
      <c r="D65" t="s">
        <v>128</v>
      </c>
      <c r="E65" s="2" t="s">
        <v>415</v>
      </c>
      <c r="F65" t="str">
        <f t="shared" si="1"/>
        <v>065_BRA.pdf</v>
      </c>
    </row>
    <row r="66" spans="1:6" x14ac:dyDescent="0.2">
      <c r="A66" s="4" t="s">
        <v>708</v>
      </c>
      <c r="B66" t="s">
        <v>130</v>
      </c>
      <c r="C66" t="s">
        <v>131</v>
      </c>
      <c r="D66" t="s">
        <v>130</v>
      </c>
      <c r="E66" t="s">
        <v>539</v>
      </c>
      <c r="F66" t="str">
        <f t="shared" si="1"/>
        <v>066_IND.pdf</v>
      </c>
    </row>
    <row r="67" spans="1:6" x14ac:dyDescent="0.2">
      <c r="A67" s="4" t="s">
        <v>709</v>
      </c>
      <c r="B67" t="s">
        <v>132</v>
      </c>
      <c r="C67" t="s">
        <v>133</v>
      </c>
      <c r="D67" t="s">
        <v>132</v>
      </c>
      <c r="E67" s="2" t="s">
        <v>440</v>
      </c>
      <c r="F67" t="str">
        <f t="shared" si="1"/>
        <v>067_DZA.pdf</v>
      </c>
    </row>
    <row r="68" spans="1:6" x14ac:dyDescent="0.2">
      <c r="A68" s="4" t="s">
        <v>710</v>
      </c>
      <c r="B68" t="s">
        <v>134</v>
      </c>
      <c r="C68" t="s">
        <v>135</v>
      </c>
      <c r="D68" t="s">
        <v>134</v>
      </c>
      <c r="E68" t="s">
        <v>540</v>
      </c>
      <c r="F68" t="str">
        <f t="shared" si="1"/>
        <v>068_RWA.pdf</v>
      </c>
    </row>
    <row r="69" spans="1:6" x14ac:dyDescent="0.2">
      <c r="A69" s="4" t="s">
        <v>711</v>
      </c>
      <c r="B69" t="s">
        <v>136</v>
      </c>
      <c r="C69" t="s">
        <v>137</v>
      </c>
      <c r="D69" t="s">
        <v>136</v>
      </c>
      <c r="E69" t="s">
        <v>541</v>
      </c>
      <c r="F69" t="str">
        <f t="shared" ref="F69:F132" si="2">CONCATENATE(A69,"_",B69,".pdf")</f>
        <v>069_BIH.pdf</v>
      </c>
    </row>
    <row r="70" spans="1:6" x14ac:dyDescent="0.2">
      <c r="A70" s="4" t="s">
        <v>712</v>
      </c>
      <c r="B70" t="s">
        <v>138</v>
      </c>
      <c r="C70" t="s">
        <v>139</v>
      </c>
      <c r="D70" t="s">
        <v>138</v>
      </c>
      <c r="E70" t="s">
        <v>544</v>
      </c>
      <c r="F70" t="str">
        <f t="shared" si="2"/>
        <v>070_AUS.pdf</v>
      </c>
    </row>
    <row r="71" spans="1:6" x14ac:dyDescent="0.2">
      <c r="A71" s="4" t="s">
        <v>713</v>
      </c>
      <c r="B71" t="s">
        <v>140</v>
      </c>
      <c r="C71" t="s">
        <v>141</v>
      </c>
      <c r="D71" t="s">
        <v>140</v>
      </c>
      <c r="E71" s="2" t="s">
        <v>413</v>
      </c>
      <c r="F71" t="str">
        <f t="shared" si="2"/>
        <v>071_BOL.pdf</v>
      </c>
    </row>
    <row r="72" spans="1:6" x14ac:dyDescent="0.2">
      <c r="A72" s="4" t="s">
        <v>714</v>
      </c>
      <c r="B72" t="s">
        <v>142</v>
      </c>
      <c r="C72" t="s">
        <v>143</v>
      </c>
      <c r="D72" t="s">
        <v>142</v>
      </c>
      <c r="E72" t="s">
        <v>468</v>
      </c>
      <c r="F72" t="str">
        <f t="shared" si="2"/>
        <v>072_CMR.pdf</v>
      </c>
    </row>
    <row r="73" spans="1:6" x14ac:dyDescent="0.2">
      <c r="A73" s="4" t="s">
        <v>715</v>
      </c>
      <c r="B73" t="s">
        <v>144</v>
      </c>
      <c r="C73" t="s">
        <v>145</v>
      </c>
      <c r="D73" t="s">
        <v>144</v>
      </c>
      <c r="E73" t="s">
        <v>545</v>
      </c>
      <c r="F73" t="str">
        <f t="shared" si="2"/>
        <v>073_RUS.pdf</v>
      </c>
    </row>
    <row r="74" spans="1:6" x14ac:dyDescent="0.2">
      <c r="A74" s="4" t="s">
        <v>716</v>
      </c>
      <c r="B74" t="s">
        <v>146</v>
      </c>
      <c r="C74" t="s">
        <v>147</v>
      </c>
      <c r="D74" t="s">
        <v>146</v>
      </c>
      <c r="E74" t="s">
        <v>547</v>
      </c>
      <c r="F74" t="str">
        <f t="shared" si="2"/>
        <v>074_ISR.pdf</v>
      </c>
    </row>
    <row r="75" spans="1:6" x14ac:dyDescent="0.2">
      <c r="A75" s="4" t="s">
        <v>717</v>
      </c>
      <c r="B75" t="s">
        <v>148</v>
      </c>
      <c r="C75" t="s">
        <v>149</v>
      </c>
      <c r="D75" t="s">
        <v>148</v>
      </c>
      <c r="E75" t="s">
        <v>485</v>
      </c>
      <c r="F75" t="str">
        <f t="shared" si="2"/>
        <v>075_USA.pdf</v>
      </c>
    </row>
    <row r="76" spans="1:6" x14ac:dyDescent="0.2">
      <c r="A76" s="4" t="s">
        <v>718</v>
      </c>
      <c r="B76" t="s">
        <v>150</v>
      </c>
      <c r="C76" t="s">
        <v>151</v>
      </c>
      <c r="D76" t="s">
        <v>150</v>
      </c>
      <c r="E76" t="s">
        <v>549</v>
      </c>
      <c r="F76" t="str">
        <f t="shared" si="2"/>
        <v>076_EST.pdf</v>
      </c>
    </row>
    <row r="77" spans="1:6" x14ac:dyDescent="0.2">
      <c r="A77" s="4" t="s">
        <v>719</v>
      </c>
      <c r="B77" t="s">
        <v>152</v>
      </c>
      <c r="C77" t="s">
        <v>153</v>
      </c>
      <c r="D77" t="s">
        <v>152</v>
      </c>
      <c r="E77" t="s">
        <v>550</v>
      </c>
      <c r="F77" t="str">
        <f t="shared" si="2"/>
        <v>077_HRV.pdf</v>
      </c>
    </row>
    <row r="78" spans="1:6" x14ac:dyDescent="0.2">
      <c r="A78" s="4" t="s">
        <v>720</v>
      </c>
      <c r="B78" t="s">
        <v>154</v>
      </c>
      <c r="C78" t="s">
        <v>155</v>
      </c>
      <c r="D78" t="s">
        <v>154</v>
      </c>
      <c r="E78" s="2" t="s">
        <v>392</v>
      </c>
      <c r="F78" t="str">
        <f t="shared" si="2"/>
        <v>078_LVA.pdf</v>
      </c>
    </row>
    <row r="79" spans="1:6" x14ac:dyDescent="0.2">
      <c r="A79" s="4" t="s">
        <v>721</v>
      </c>
      <c r="B79" t="s">
        <v>156</v>
      </c>
      <c r="C79" t="s">
        <v>157</v>
      </c>
      <c r="D79" t="s">
        <v>156</v>
      </c>
      <c r="E79" t="s">
        <v>551</v>
      </c>
      <c r="F79" t="str">
        <f t="shared" si="2"/>
        <v>079_SVK.pdf</v>
      </c>
    </row>
    <row r="80" spans="1:6" x14ac:dyDescent="0.2">
      <c r="A80" s="4" t="s">
        <v>722</v>
      </c>
      <c r="B80" t="s">
        <v>158</v>
      </c>
      <c r="C80" t="s">
        <v>159</v>
      </c>
      <c r="D80" t="s">
        <v>158</v>
      </c>
      <c r="E80" t="s">
        <v>487</v>
      </c>
      <c r="F80" t="str">
        <f t="shared" si="2"/>
        <v>080_MDA.pdf</v>
      </c>
    </row>
    <row r="81" spans="1:6" x14ac:dyDescent="0.2">
      <c r="A81" s="4" t="s">
        <v>723</v>
      </c>
      <c r="B81" t="s">
        <v>160</v>
      </c>
      <c r="C81" t="s">
        <v>161</v>
      </c>
      <c r="D81" t="s">
        <v>160</v>
      </c>
      <c r="E81" t="s">
        <v>552</v>
      </c>
      <c r="F81" t="str">
        <f t="shared" si="2"/>
        <v>081_ISL.pdf</v>
      </c>
    </row>
    <row r="82" spans="1:6" x14ac:dyDescent="0.2">
      <c r="A82" s="4" t="s">
        <v>724</v>
      </c>
      <c r="B82" t="s">
        <v>162</v>
      </c>
      <c r="C82" t="s">
        <v>163</v>
      </c>
      <c r="D82" t="s">
        <v>162</v>
      </c>
      <c r="E82" s="2" t="s">
        <v>424</v>
      </c>
      <c r="F82" t="str">
        <f t="shared" si="2"/>
        <v>082_URY.pdf</v>
      </c>
    </row>
    <row r="83" spans="1:6" x14ac:dyDescent="0.2">
      <c r="A83" s="4" t="s">
        <v>725</v>
      </c>
      <c r="B83" t="s">
        <v>164</v>
      </c>
      <c r="C83" t="s">
        <v>165</v>
      </c>
      <c r="D83" t="s">
        <v>164</v>
      </c>
      <c r="E83" t="s">
        <v>554</v>
      </c>
      <c r="F83" t="str">
        <f t="shared" si="2"/>
        <v>083_LUX.pdf</v>
      </c>
    </row>
    <row r="84" spans="1:6" x14ac:dyDescent="0.2">
      <c r="A84" s="4" t="s">
        <v>726</v>
      </c>
      <c r="B84" t="s">
        <v>166</v>
      </c>
      <c r="C84" t="s">
        <v>167</v>
      </c>
      <c r="D84" t="s">
        <v>166</v>
      </c>
      <c r="E84" t="s">
        <v>555</v>
      </c>
      <c r="F84" t="str">
        <f t="shared" si="2"/>
        <v>084_BLR.pdf</v>
      </c>
    </row>
    <row r="85" spans="1:6" x14ac:dyDescent="0.2">
      <c r="A85" s="4" t="s">
        <v>727</v>
      </c>
      <c r="B85" t="s">
        <v>168</v>
      </c>
      <c r="C85" t="s">
        <v>169</v>
      </c>
      <c r="D85" t="s">
        <v>168</v>
      </c>
      <c r="E85" t="s">
        <v>557</v>
      </c>
      <c r="F85" t="str">
        <f t="shared" si="2"/>
        <v>085_LTU.pdf</v>
      </c>
    </row>
    <row r="86" spans="1:6" x14ac:dyDescent="0.2">
      <c r="A86" s="4" t="s">
        <v>728</v>
      </c>
      <c r="B86" t="s">
        <v>170</v>
      </c>
      <c r="C86" t="s">
        <v>171</v>
      </c>
      <c r="D86" t="s">
        <v>170</v>
      </c>
      <c r="E86" t="s">
        <v>558</v>
      </c>
      <c r="F86" t="str">
        <f t="shared" si="2"/>
        <v>086_MLT.pdf</v>
      </c>
    </row>
    <row r="87" spans="1:6" x14ac:dyDescent="0.2">
      <c r="A87" s="4" t="s">
        <v>729</v>
      </c>
      <c r="B87" t="s">
        <v>172</v>
      </c>
      <c r="C87" t="s">
        <v>173</v>
      </c>
      <c r="D87" t="s">
        <v>172</v>
      </c>
      <c r="E87" t="s">
        <v>477</v>
      </c>
      <c r="F87" t="str">
        <f t="shared" si="2"/>
        <v>087_KGZ.pdf</v>
      </c>
    </row>
    <row r="88" spans="1:6" x14ac:dyDescent="0.2">
      <c r="A88" s="4" t="s">
        <v>730</v>
      </c>
      <c r="B88" t="s">
        <v>174</v>
      </c>
      <c r="C88" t="s">
        <v>175</v>
      </c>
      <c r="D88" t="s">
        <v>174</v>
      </c>
      <c r="E88" s="2" t="s">
        <v>419</v>
      </c>
      <c r="F88" t="str">
        <f t="shared" si="2"/>
        <v>088_CUB.pdf</v>
      </c>
    </row>
    <row r="89" spans="1:6" x14ac:dyDescent="0.2">
      <c r="A89" s="4" t="s">
        <v>731</v>
      </c>
      <c r="B89" t="s">
        <v>176</v>
      </c>
      <c r="C89" t="s">
        <v>177</v>
      </c>
      <c r="D89" t="s">
        <v>176</v>
      </c>
      <c r="E89" s="2" t="s">
        <v>402</v>
      </c>
      <c r="F89" t="str">
        <f t="shared" si="2"/>
        <v>089_CRI.pdf</v>
      </c>
    </row>
    <row r="90" spans="1:6" x14ac:dyDescent="0.2">
      <c r="A90" s="4" t="s">
        <v>732</v>
      </c>
      <c r="B90" t="s">
        <v>178</v>
      </c>
      <c r="C90" t="s">
        <v>179</v>
      </c>
      <c r="D90" t="s">
        <v>178</v>
      </c>
      <c r="E90" t="s">
        <v>559</v>
      </c>
      <c r="F90" t="str">
        <f t="shared" si="2"/>
        <v>090_AZE.pdf</v>
      </c>
    </row>
    <row r="91" spans="1:6" x14ac:dyDescent="0.2">
      <c r="A91" s="4" t="s">
        <v>733</v>
      </c>
      <c r="B91" t="s">
        <v>180</v>
      </c>
      <c r="C91" t="s">
        <v>181</v>
      </c>
      <c r="D91" t="s">
        <v>180</v>
      </c>
      <c r="E91" t="s">
        <v>561</v>
      </c>
      <c r="F91" t="str">
        <f t="shared" si="2"/>
        <v>091_ARM.pdf</v>
      </c>
    </row>
    <row r="92" spans="1:6" x14ac:dyDescent="0.2">
      <c r="A92" s="4" t="s">
        <v>734</v>
      </c>
      <c r="B92" t="s">
        <v>182</v>
      </c>
      <c r="C92" t="s">
        <v>183</v>
      </c>
      <c r="D92" t="s">
        <v>182</v>
      </c>
      <c r="E92" s="2" t="s">
        <v>437</v>
      </c>
      <c r="F92" t="str">
        <f t="shared" si="2"/>
        <v>092_FJI.pdf</v>
      </c>
    </row>
    <row r="93" spans="1:6" x14ac:dyDescent="0.2">
      <c r="A93" s="4" t="s">
        <v>735</v>
      </c>
      <c r="B93" t="s">
        <v>184</v>
      </c>
      <c r="C93" t="s">
        <v>185</v>
      </c>
      <c r="D93" t="s">
        <v>184</v>
      </c>
      <c r="E93" t="s">
        <v>455</v>
      </c>
      <c r="F93" t="str">
        <f t="shared" si="2"/>
        <v>093_TUN.pdf</v>
      </c>
    </row>
    <row r="94" spans="1:6" x14ac:dyDescent="0.2">
      <c r="A94" s="4" t="s">
        <v>736</v>
      </c>
      <c r="B94" t="s">
        <v>186</v>
      </c>
      <c r="C94" t="s">
        <v>187</v>
      </c>
      <c r="D94" t="s">
        <v>186</v>
      </c>
      <c r="E94" t="s">
        <v>564</v>
      </c>
      <c r="F94" t="str">
        <f t="shared" si="2"/>
        <v>094_MKD.pdf</v>
      </c>
    </row>
    <row r="95" spans="1:6" x14ac:dyDescent="0.2">
      <c r="A95" s="4" t="s">
        <v>737</v>
      </c>
      <c r="B95" t="s">
        <v>188</v>
      </c>
      <c r="C95" t="s">
        <v>189</v>
      </c>
      <c r="D95" t="s">
        <v>188</v>
      </c>
      <c r="E95" t="s">
        <v>565</v>
      </c>
      <c r="F95" t="str">
        <f t="shared" si="2"/>
        <v>095_BTN.pdf</v>
      </c>
    </row>
    <row r="96" spans="1:6" x14ac:dyDescent="0.2">
      <c r="A96" s="4" t="s">
        <v>738</v>
      </c>
      <c r="B96" t="s">
        <v>190</v>
      </c>
      <c r="C96" t="s">
        <v>191</v>
      </c>
      <c r="D96" t="s">
        <v>190</v>
      </c>
      <c r="E96" s="2" t="s">
        <v>412</v>
      </c>
      <c r="F96" t="str">
        <f t="shared" si="2"/>
        <v>096_DOM.pdf</v>
      </c>
    </row>
    <row r="97" spans="1:6" x14ac:dyDescent="0.2">
      <c r="A97" s="4" t="s">
        <v>739</v>
      </c>
      <c r="B97" t="s">
        <v>192</v>
      </c>
      <c r="C97" t="s">
        <v>193</v>
      </c>
      <c r="D97" t="s">
        <v>192</v>
      </c>
      <c r="E97" t="s">
        <v>566</v>
      </c>
      <c r="F97" t="str">
        <f t="shared" si="2"/>
        <v>097_SGP.pdf</v>
      </c>
    </row>
    <row r="98" spans="1:6" x14ac:dyDescent="0.2">
      <c r="A98" s="4" t="s">
        <v>740</v>
      </c>
      <c r="B98" t="s">
        <v>194</v>
      </c>
      <c r="C98" t="s">
        <v>195</v>
      </c>
      <c r="D98" t="s">
        <v>194</v>
      </c>
      <c r="E98" t="s">
        <v>567</v>
      </c>
      <c r="F98" t="str">
        <f t="shared" si="2"/>
        <v>098_MNE.pdf</v>
      </c>
    </row>
    <row r="99" spans="1:6" x14ac:dyDescent="0.2">
      <c r="A99" s="4" t="s">
        <v>741</v>
      </c>
      <c r="B99" t="s">
        <v>196</v>
      </c>
      <c r="C99" t="s">
        <v>197</v>
      </c>
      <c r="D99" t="s">
        <v>196</v>
      </c>
      <c r="E99" t="s">
        <v>486</v>
      </c>
      <c r="F99" t="str">
        <f t="shared" si="2"/>
        <v>099_MDV.pdf</v>
      </c>
    </row>
    <row r="100" spans="1:6" x14ac:dyDescent="0.2">
      <c r="A100" s="4" t="s">
        <v>742</v>
      </c>
      <c r="B100" t="s">
        <v>198</v>
      </c>
      <c r="C100" t="s">
        <v>199</v>
      </c>
      <c r="D100" t="s">
        <v>198</v>
      </c>
      <c r="E100" t="s">
        <v>569</v>
      </c>
      <c r="F100" t="str">
        <f t="shared" si="2"/>
        <v>100_UZB.pdf</v>
      </c>
    </row>
    <row r="101" spans="1:6" x14ac:dyDescent="0.2">
      <c r="A101" s="4" t="s">
        <v>743</v>
      </c>
      <c r="B101" t="s">
        <v>200</v>
      </c>
      <c r="C101" t="s">
        <v>201</v>
      </c>
      <c r="D101" t="s">
        <v>200</v>
      </c>
      <c r="E101" s="2" t="s">
        <v>430</v>
      </c>
      <c r="F101" t="str">
        <f t="shared" si="2"/>
        <v>101_SLV.pdf</v>
      </c>
    </row>
    <row r="102" spans="1:6" x14ac:dyDescent="0.2">
      <c r="A102" s="4" t="s">
        <v>744</v>
      </c>
      <c r="B102" t="s">
        <v>202</v>
      </c>
      <c r="C102" t="s">
        <v>203</v>
      </c>
      <c r="D102" t="s">
        <v>202</v>
      </c>
      <c r="E102" s="2" t="s">
        <v>444</v>
      </c>
      <c r="F102" t="str">
        <f t="shared" si="2"/>
        <v>102_JOR.pdf</v>
      </c>
    </row>
    <row r="103" spans="1:6" x14ac:dyDescent="0.2">
      <c r="A103" s="4" t="s">
        <v>745</v>
      </c>
      <c r="B103" t="s">
        <v>204</v>
      </c>
      <c r="C103" t="s">
        <v>205</v>
      </c>
      <c r="D103" t="s">
        <v>204</v>
      </c>
      <c r="E103" t="s">
        <v>457</v>
      </c>
      <c r="F103" t="str">
        <f t="shared" si="2"/>
        <v>103_ARE.pdf</v>
      </c>
    </row>
    <row r="104" spans="1:6" x14ac:dyDescent="0.2">
      <c r="A104" s="4" t="s">
        <v>746</v>
      </c>
      <c r="B104" t="s">
        <v>206</v>
      </c>
      <c r="C104" t="s">
        <v>207</v>
      </c>
      <c r="D104" t="s">
        <v>206</v>
      </c>
      <c r="E104" t="s">
        <v>570</v>
      </c>
      <c r="F104" t="str">
        <f t="shared" si="2"/>
        <v>104_LKA.pdf</v>
      </c>
    </row>
    <row r="105" spans="1:6" x14ac:dyDescent="0.2">
      <c r="A105" s="4" t="s">
        <v>747</v>
      </c>
      <c r="B105" t="s">
        <v>208</v>
      </c>
      <c r="C105" t="s">
        <v>209</v>
      </c>
      <c r="D105" t="s">
        <v>208</v>
      </c>
      <c r="E105" t="s">
        <v>469</v>
      </c>
      <c r="F105" t="str">
        <f t="shared" si="2"/>
        <v>105_TJK.pdf</v>
      </c>
    </row>
    <row r="106" spans="1:6" x14ac:dyDescent="0.2">
      <c r="A106" s="4" t="s">
        <v>748</v>
      </c>
      <c r="B106" t="s">
        <v>210</v>
      </c>
      <c r="C106" t="s">
        <v>211</v>
      </c>
      <c r="D106" t="s">
        <v>210</v>
      </c>
      <c r="E106" t="s">
        <v>571</v>
      </c>
      <c r="F106" t="str">
        <f t="shared" si="2"/>
        <v>106_IRN.pdf</v>
      </c>
    </row>
    <row r="107" spans="1:6" x14ac:dyDescent="0.2">
      <c r="A107" s="4" t="s">
        <v>749</v>
      </c>
      <c r="B107" t="s">
        <v>212</v>
      </c>
      <c r="C107" t="s">
        <v>213</v>
      </c>
      <c r="D107" t="s">
        <v>212</v>
      </c>
      <c r="E107" s="2" t="s">
        <v>428</v>
      </c>
      <c r="F107" t="str">
        <f t="shared" si="2"/>
        <v>107_PRY.pdf</v>
      </c>
    </row>
    <row r="108" spans="1:6" x14ac:dyDescent="0.2">
      <c r="A108" s="4" t="s">
        <v>750</v>
      </c>
      <c r="B108" t="s">
        <v>214</v>
      </c>
      <c r="C108" t="s">
        <v>215</v>
      </c>
      <c r="D108" t="s">
        <v>214</v>
      </c>
      <c r="E108" t="s">
        <v>573</v>
      </c>
      <c r="F108" t="str">
        <f t="shared" si="2"/>
        <v>108_CPV.pdf</v>
      </c>
    </row>
    <row r="109" spans="1:6" x14ac:dyDescent="0.2">
      <c r="A109" s="4" t="s">
        <v>751</v>
      </c>
      <c r="B109" t="s">
        <v>216</v>
      </c>
      <c r="C109" t="s">
        <v>217</v>
      </c>
      <c r="D109" t="s">
        <v>216</v>
      </c>
      <c r="E109" t="s">
        <v>449</v>
      </c>
      <c r="F109" t="str">
        <f t="shared" si="2"/>
        <v>109_OMN.pdf</v>
      </c>
    </row>
    <row r="110" spans="1:6" x14ac:dyDescent="0.2">
      <c r="A110" s="4" t="s">
        <v>752</v>
      </c>
      <c r="B110" t="s">
        <v>218</v>
      </c>
      <c r="C110" t="s">
        <v>219</v>
      </c>
      <c r="D110" t="s">
        <v>218</v>
      </c>
      <c r="E110" t="s">
        <v>574</v>
      </c>
      <c r="F110" t="str">
        <f t="shared" si="2"/>
        <v>110_TKM.pdf</v>
      </c>
    </row>
    <row r="111" spans="1:6" x14ac:dyDescent="0.2">
      <c r="A111" s="4" t="s">
        <v>753</v>
      </c>
      <c r="B111" t="s">
        <v>220</v>
      </c>
      <c r="C111" t="s">
        <v>221</v>
      </c>
      <c r="D111" t="s">
        <v>220</v>
      </c>
      <c r="E111" s="2" t="s">
        <v>408</v>
      </c>
      <c r="F111" t="str">
        <f t="shared" si="2"/>
        <v>111_SUR.pdf</v>
      </c>
    </row>
    <row r="112" spans="1:6" x14ac:dyDescent="0.2">
      <c r="A112" s="4" t="s">
        <v>754</v>
      </c>
      <c r="B112" t="s">
        <v>222</v>
      </c>
      <c r="C112" t="s">
        <v>223</v>
      </c>
      <c r="D112" t="s">
        <v>222</v>
      </c>
      <c r="E112" t="s">
        <v>574</v>
      </c>
      <c r="F112" t="str">
        <f t="shared" si="2"/>
        <v>112_MUS.pdf</v>
      </c>
    </row>
    <row r="113" spans="1:6" x14ac:dyDescent="0.2">
      <c r="A113" s="4" t="s">
        <v>755</v>
      </c>
      <c r="B113" t="s">
        <v>224</v>
      </c>
      <c r="C113" t="s">
        <v>225</v>
      </c>
      <c r="D113" t="s">
        <v>224</v>
      </c>
      <c r="E113" s="2" t="s">
        <v>445</v>
      </c>
      <c r="F113" t="str">
        <f t="shared" si="2"/>
        <v>113_LBN.pdf</v>
      </c>
    </row>
    <row r="114" spans="1:6" x14ac:dyDescent="0.2">
      <c r="A114" s="4" t="s">
        <v>756</v>
      </c>
      <c r="B114" t="s">
        <v>226</v>
      </c>
      <c r="C114" t="s">
        <v>227</v>
      </c>
      <c r="D114" t="s">
        <v>226</v>
      </c>
      <c r="E114" s="2" t="s">
        <v>405</v>
      </c>
      <c r="F114" t="str">
        <f t="shared" si="2"/>
        <v>114_GUY.pdf</v>
      </c>
    </row>
    <row r="115" spans="1:6" x14ac:dyDescent="0.2">
      <c r="A115" s="4" t="s">
        <v>757</v>
      </c>
      <c r="B115" t="s">
        <v>228</v>
      </c>
      <c r="C115" t="s">
        <v>229</v>
      </c>
      <c r="D115" t="s">
        <v>228</v>
      </c>
      <c r="E115" s="2" t="s">
        <v>418</v>
      </c>
      <c r="F115" t="str">
        <f t="shared" si="2"/>
        <v>115_PAN.pdf</v>
      </c>
    </row>
    <row r="116" spans="1:6" x14ac:dyDescent="0.2">
      <c r="A116" s="4" t="s">
        <v>758</v>
      </c>
      <c r="B116" t="s">
        <v>230</v>
      </c>
      <c r="C116" t="s">
        <v>231</v>
      </c>
      <c r="D116" t="s">
        <v>230</v>
      </c>
      <c r="E116" t="s">
        <v>576</v>
      </c>
      <c r="F116" t="str">
        <f t="shared" si="2"/>
        <v>116_NPL.pdf</v>
      </c>
    </row>
    <row r="117" spans="1:6" x14ac:dyDescent="0.2">
      <c r="A117" s="4" t="s">
        <v>759</v>
      </c>
      <c r="B117" t="s">
        <v>232</v>
      </c>
      <c r="C117" t="s">
        <v>233</v>
      </c>
      <c r="D117" t="s">
        <v>232</v>
      </c>
      <c r="E117" t="s">
        <v>450</v>
      </c>
      <c r="F117" t="str">
        <f t="shared" si="2"/>
        <v>117_QAT.pdf</v>
      </c>
    </row>
    <row r="118" spans="1:6" x14ac:dyDescent="0.2">
      <c r="A118" s="4" t="s">
        <v>760</v>
      </c>
      <c r="B118" t="s">
        <v>234</v>
      </c>
      <c r="C118" t="s">
        <v>235</v>
      </c>
      <c r="D118" t="s">
        <v>234</v>
      </c>
      <c r="E118" t="s">
        <v>490</v>
      </c>
      <c r="F118" t="str">
        <f t="shared" si="2"/>
        <v>118_BRN.pdf</v>
      </c>
    </row>
    <row r="119" spans="1:6" x14ac:dyDescent="0.2">
      <c r="A119" s="4" t="s">
        <v>761</v>
      </c>
      <c r="B119" t="s">
        <v>236</v>
      </c>
      <c r="C119" t="s">
        <v>237</v>
      </c>
      <c r="D119" t="s">
        <v>236</v>
      </c>
      <c r="E119" t="s">
        <v>464</v>
      </c>
      <c r="F119" t="str">
        <f t="shared" si="2"/>
        <v>119_KHM.pdf</v>
      </c>
    </row>
    <row r="120" spans="1:6" x14ac:dyDescent="0.2">
      <c r="A120" s="4" t="s">
        <v>762</v>
      </c>
      <c r="B120" t="s">
        <v>238</v>
      </c>
      <c r="C120" t="s">
        <v>239</v>
      </c>
      <c r="D120" t="s">
        <v>238</v>
      </c>
      <c r="E120" s="2" t="s">
        <v>410</v>
      </c>
      <c r="F120" t="str">
        <f t="shared" si="2"/>
        <v>120_NIC.pdf</v>
      </c>
    </row>
    <row r="121" spans="1:6" x14ac:dyDescent="0.2">
      <c r="A121" s="4" t="s">
        <v>763</v>
      </c>
      <c r="B121" t="s">
        <v>240</v>
      </c>
      <c r="C121" t="s">
        <v>241</v>
      </c>
      <c r="D121" t="s">
        <v>240</v>
      </c>
      <c r="E121" s="2" t="s">
        <v>459</v>
      </c>
      <c r="F121" t="str">
        <f t="shared" si="2"/>
        <v>121_IRQ.pdf</v>
      </c>
    </row>
    <row r="122" spans="1:6" x14ac:dyDescent="0.2">
      <c r="A122" s="4" t="s">
        <v>764</v>
      </c>
      <c r="B122" t="s">
        <v>242</v>
      </c>
      <c r="C122" t="s">
        <v>243</v>
      </c>
      <c r="D122" t="s">
        <v>242</v>
      </c>
      <c r="E122" t="s">
        <v>577</v>
      </c>
      <c r="F122" t="str">
        <f t="shared" si="2"/>
        <v>122_MNG.pdf</v>
      </c>
    </row>
    <row r="123" spans="1:6" x14ac:dyDescent="0.2">
      <c r="A123" s="4" t="s">
        <v>765</v>
      </c>
      <c r="B123" t="s">
        <v>244</v>
      </c>
      <c r="C123" t="s">
        <v>245</v>
      </c>
      <c r="D123" t="s">
        <v>244</v>
      </c>
      <c r="E123" s="2" t="s">
        <v>422</v>
      </c>
      <c r="F123" t="str">
        <f t="shared" si="2"/>
        <v>123_BLZ.pdf</v>
      </c>
    </row>
    <row r="124" spans="1:6" x14ac:dyDescent="0.2">
      <c r="A124" s="4" t="s">
        <v>766</v>
      </c>
      <c r="B124" t="s">
        <v>246</v>
      </c>
      <c r="C124" t="s">
        <v>247</v>
      </c>
      <c r="D124" t="s">
        <v>246</v>
      </c>
      <c r="E124" s="2" t="s">
        <v>438</v>
      </c>
      <c r="F124" t="str">
        <f t="shared" si="2"/>
        <v>124_KWT.pdf</v>
      </c>
    </row>
    <row r="125" spans="1:6" x14ac:dyDescent="0.2">
      <c r="A125" s="4" t="s">
        <v>767</v>
      </c>
      <c r="B125" t="s">
        <v>248</v>
      </c>
      <c r="C125" t="s">
        <v>249</v>
      </c>
      <c r="D125" t="s">
        <v>248</v>
      </c>
      <c r="E125" s="2" t="s">
        <v>436</v>
      </c>
      <c r="F125" t="str">
        <f t="shared" si="2"/>
        <v>125_NAM.pdf</v>
      </c>
    </row>
    <row r="126" spans="1:6" x14ac:dyDescent="0.2">
      <c r="A126" s="4" t="s">
        <v>768</v>
      </c>
      <c r="B126" t="s">
        <v>250</v>
      </c>
      <c r="C126" t="s">
        <v>251</v>
      </c>
      <c r="D126" t="s">
        <v>250</v>
      </c>
      <c r="E126" t="s">
        <v>442</v>
      </c>
      <c r="F126" t="str">
        <f t="shared" si="2"/>
        <v>126_BHR.pdf</v>
      </c>
    </row>
    <row r="127" spans="1:6" x14ac:dyDescent="0.2">
      <c r="A127" s="4" t="s">
        <v>769</v>
      </c>
      <c r="B127" t="s">
        <v>252</v>
      </c>
      <c r="C127" t="s">
        <v>253</v>
      </c>
      <c r="D127" t="s">
        <v>252</v>
      </c>
      <c r="E127" t="s">
        <v>578</v>
      </c>
      <c r="F127" t="str">
        <f t="shared" si="2"/>
        <v>127_GAB.pdf</v>
      </c>
    </row>
    <row r="128" spans="1:6" x14ac:dyDescent="0.2">
      <c r="A128" s="4" t="s">
        <v>770</v>
      </c>
      <c r="B128" t="s">
        <v>254</v>
      </c>
      <c r="C128" t="s">
        <v>255</v>
      </c>
      <c r="D128" t="s">
        <v>254</v>
      </c>
      <c r="E128" s="2" t="s">
        <v>426</v>
      </c>
      <c r="F128" t="str">
        <f t="shared" si="2"/>
        <v>128_TTO.pdf</v>
      </c>
    </row>
    <row r="129" spans="1:6" x14ac:dyDescent="0.2">
      <c r="A129" s="4" t="s">
        <v>771</v>
      </c>
      <c r="B129" t="s">
        <v>256</v>
      </c>
      <c r="C129" t="s">
        <v>257</v>
      </c>
      <c r="D129" t="s">
        <v>256</v>
      </c>
      <c r="E129" t="s">
        <v>579</v>
      </c>
      <c r="F129" t="str">
        <f t="shared" si="2"/>
        <v>129_LAO.pdf</v>
      </c>
    </row>
    <row r="130" spans="1:6" x14ac:dyDescent="0.2">
      <c r="A130" s="4" t="s">
        <v>772</v>
      </c>
      <c r="B130" t="s">
        <v>258</v>
      </c>
      <c r="C130" t="s">
        <v>259</v>
      </c>
      <c r="D130" t="s">
        <v>258</v>
      </c>
      <c r="E130" s="2" t="s">
        <v>407</v>
      </c>
      <c r="F130" t="str">
        <f t="shared" si="2"/>
        <v>130_HND.pdf</v>
      </c>
    </row>
    <row r="131" spans="1:6" x14ac:dyDescent="0.2">
      <c r="A131" s="4" t="s">
        <v>773</v>
      </c>
      <c r="B131" t="s">
        <v>260</v>
      </c>
      <c r="C131" t="s">
        <v>261</v>
      </c>
      <c r="D131" t="s">
        <v>260</v>
      </c>
      <c r="E131" s="2" t="s">
        <v>421</v>
      </c>
      <c r="F131" t="str">
        <f t="shared" si="2"/>
        <v>131_VEN.pdf</v>
      </c>
    </row>
    <row r="132" spans="1:6" x14ac:dyDescent="0.2">
      <c r="A132" s="4" t="s">
        <v>774</v>
      </c>
      <c r="B132" t="s">
        <v>262</v>
      </c>
      <c r="C132" t="s">
        <v>263</v>
      </c>
      <c r="D132" t="s">
        <v>262</v>
      </c>
      <c r="E132" t="s">
        <v>472</v>
      </c>
      <c r="F132" t="str">
        <f t="shared" si="2"/>
        <v>132_BWA.pdf</v>
      </c>
    </row>
    <row r="133" spans="1:6" x14ac:dyDescent="0.2">
      <c r="A133" s="4" t="s">
        <v>775</v>
      </c>
      <c r="B133" t="s">
        <v>264</v>
      </c>
      <c r="C133" t="s">
        <v>265</v>
      </c>
      <c r="D133" t="s">
        <v>264</v>
      </c>
      <c r="E133" t="s">
        <v>580</v>
      </c>
      <c r="F133" t="str">
        <f t="shared" ref="F133:F194" si="3">CONCATENATE(A133,"_",B133,".pdf")</f>
        <v>133_STP.pdf</v>
      </c>
    </row>
    <row r="134" spans="1:6" x14ac:dyDescent="0.2">
      <c r="A134" s="4" t="s">
        <v>776</v>
      </c>
      <c r="B134" t="s">
        <v>266</v>
      </c>
      <c r="C134" t="s">
        <v>267</v>
      </c>
      <c r="D134" t="s">
        <v>266</v>
      </c>
      <c r="E134" t="s">
        <v>581</v>
      </c>
      <c r="F134" t="str">
        <f t="shared" si="3"/>
        <v>134_CIV.pdf</v>
      </c>
    </row>
    <row r="135" spans="1:6" x14ac:dyDescent="0.2">
      <c r="A135" s="4" t="s">
        <v>777</v>
      </c>
      <c r="B135" t="s">
        <v>268</v>
      </c>
      <c r="C135" t="s">
        <v>269</v>
      </c>
      <c r="D135" t="s">
        <v>268</v>
      </c>
      <c r="E135" s="2" t="s">
        <v>423</v>
      </c>
      <c r="F135" t="str">
        <f t="shared" si="3"/>
        <v>135_BHS.pdf</v>
      </c>
    </row>
    <row r="136" spans="1:6" x14ac:dyDescent="0.2">
      <c r="A136" s="4" t="s">
        <v>778</v>
      </c>
      <c r="B136" t="s">
        <v>270</v>
      </c>
      <c r="C136" t="s">
        <v>271</v>
      </c>
      <c r="D136" t="s">
        <v>270</v>
      </c>
      <c r="E136" t="s">
        <v>582</v>
      </c>
      <c r="F136" t="str">
        <f t="shared" si="3"/>
        <v>136_MMR.pdf</v>
      </c>
    </row>
    <row r="137" spans="1:6" x14ac:dyDescent="0.2">
      <c r="A137" s="4" t="s">
        <v>779</v>
      </c>
      <c r="B137" t="s">
        <v>272</v>
      </c>
      <c r="C137" t="s">
        <v>273</v>
      </c>
      <c r="D137" t="s">
        <v>272</v>
      </c>
      <c r="E137" s="2" t="s">
        <v>431</v>
      </c>
      <c r="F137" t="str">
        <f t="shared" si="3"/>
        <v>137_GTM.pdf</v>
      </c>
    </row>
    <row r="138" spans="1:6" x14ac:dyDescent="0.2">
      <c r="A138" s="4" t="s">
        <v>780</v>
      </c>
      <c r="B138" t="s">
        <v>274</v>
      </c>
      <c r="C138" t="s">
        <v>275</v>
      </c>
      <c r="D138" t="s">
        <v>274</v>
      </c>
      <c r="E138" t="s">
        <v>466</v>
      </c>
      <c r="F138" t="str">
        <f t="shared" si="3"/>
        <v>138_GMB.pdf</v>
      </c>
    </row>
    <row r="139" spans="1:6" x14ac:dyDescent="0.2">
      <c r="A139" s="4" t="s">
        <v>781</v>
      </c>
      <c r="B139" t="s">
        <v>276</v>
      </c>
      <c r="C139" t="s">
        <v>277</v>
      </c>
      <c r="D139" t="s">
        <v>276</v>
      </c>
      <c r="E139" t="s">
        <v>454</v>
      </c>
      <c r="F139" t="str">
        <f t="shared" si="3"/>
        <v>139_SYR.pdf</v>
      </c>
    </row>
    <row r="140" spans="1:6" x14ac:dyDescent="0.2">
      <c r="A140" s="4" t="s">
        <v>782</v>
      </c>
      <c r="B140" t="s">
        <v>278</v>
      </c>
      <c r="C140" t="s">
        <v>279</v>
      </c>
      <c r="D140" t="s">
        <v>278</v>
      </c>
      <c r="E140" t="s">
        <v>584</v>
      </c>
      <c r="F140" t="str">
        <f t="shared" si="3"/>
        <v>140_MLI.pdf</v>
      </c>
    </row>
    <row r="141" spans="1:6" x14ac:dyDescent="0.2">
      <c r="A141" s="4" t="s">
        <v>783</v>
      </c>
      <c r="B141" t="s">
        <v>280</v>
      </c>
      <c r="C141" t="s">
        <v>281</v>
      </c>
      <c r="D141" t="s">
        <v>280</v>
      </c>
      <c r="E141" t="s">
        <v>585</v>
      </c>
      <c r="F141" t="str">
        <f t="shared" si="3"/>
        <v>141_SWZ.pdf</v>
      </c>
    </row>
    <row r="142" spans="1:6" x14ac:dyDescent="0.2">
      <c r="A142" s="4" t="s">
        <v>784</v>
      </c>
      <c r="B142" t="s">
        <v>282</v>
      </c>
      <c r="C142" t="s">
        <v>283</v>
      </c>
      <c r="D142" t="s">
        <v>282</v>
      </c>
      <c r="E142" t="s">
        <v>447</v>
      </c>
      <c r="F142" t="str">
        <f t="shared" si="3"/>
        <v>142_MRT.pdf</v>
      </c>
    </row>
    <row r="143" spans="1:6" x14ac:dyDescent="0.2">
      <c r="A143" s="4" t="s">
        <v>785</v>
      </c>
      <c r="B143" t="s">
        <v>284</v>
      </c>
      <c r="C143" t="s">
        <v>285</v>
      </c>
      <c r="D143" t="s">
        <v>284</v>
      </c>
      <c r="E143" t="s">
        <v>482</v>
      </c>
      <c r="F143" t="str">
        <f t="shared" si="3"/>
        <v>143_TZA.pdf</v>
      </c>
    </row>
    <row r="144" spans="1:6" x14ac:dyDescent="0.2">
      <c r="A144" s="4" t="s">
        <v>786</v>
      </c>
      <c r="B144" t="s">
        <v>286</v>
      </c>
      <c r="C144" t="s">
        <v>287</v>
      </c>
      <c r="D144" t="s">
        <v>286</v>
      </c>
      <c r="E144" t="s">
        <v>586</v>
      </c>
      <c r="F144" t="str">
        <f t="shared" si="3"/>
        <v>144_MWI.pdf</v>
      </c>
    </row>
    <row r="145" spans="1:6" x14ac:dyDescent="0.2">
      <c r="A145" s="4" t="s">
        <v>787</v>
      </c>
      <c r="B145" t="s">
        <v>288</v>
      </c>
      <c r="C145" t="s">
        <v>289</v>
      </c>
      <c r="D145" t="s">
        <v>288</v>
      </c>
      <c r="E145" t="s">
        <v>587</v>
      </c>
      <c r="F145" t="str">
        <f t="shared" si="3"/>
        <v>145_TGO.pdf</v>
      </c>
    </row>
    <row r="146" spans="1:6" x14ac:dyDescent="0.2">
      <c r="A146" s="4" t="s">
        <v>788</v>
      </c>
      <c r="B146" t="s">
        <v>290</v>
      </c>
      <c r="C146" t="s">
        <v>291</v>
      </c>
      <c r="D146" t="s">
        <v>290</v>
      </c>
      <c r="E146" t="s">
        <v>488</v>
      </c>
      <c r="F146" t="str">
        <f t="shared" si="3"/>
        <v>146_SLE.pdf</v>
      </c>
    </row>
    <row r="147" spans="1:6" x14ac:dyDescent="0.2">
      <c r="A147" s="4" t="s">
        <v>789</v>
      </c>
      <c r="B147" t="s">
        <v>292</v>
      </c>
      <c r="C147" t="s">
        <v>293</v>
      </c>
      <c r="D147" t="s">
        <v>292</v>
      </c>
      <c r="E147" t="s">
        <v>479</v>
      </c>
      <c r="F147" t="str">
        <f t="shared" si="3"/>
        <v>147_ZWE.pdf</v>
      </c>
    </row>
    <row r="148" spans="1:6" x14ac:dyDescent="0.2">
      <c r="A148" s="4" t="s">
        <v>790</v>
      </c>
      <c r="B148" t="s">
        <v>294</v>
      </c>
      <c r="C148" t="s">
        <v>295</v>
      </c>
      <c r="D148" t="s">
        <v>294</v>
      </c>
      <c r="E148" t="s">
        <v>588</v>
      </c>
      <c r="F148" t="str">
        <f t="shared" si="3"/>
        <v>148_GIN.pdf</v>
      </c>
    </row>
    <row r="149" spans="1:6" x14ac:dyDescent="0.2">
      <c r="A149" s="4" t="s">
        <v>791</v>
      </c>
      <c r="B149" t="s">
        <v>296</v>
      </c>
      <c r="C149" t="s">
        <v>297</v>
      </c>
      <c r="D149" t="s">
        <v>296</v>
      </c>
      <c r="E149" t="s">
        <v>465</v>
      </c>
      <c r="F149" t="str">
        <f t="shared" si="3"/>
        <v>149_LSO.pdf</v>
      </c>
    </row>
    <row r="150" spans="1:6" x14ac:dyDescent="0.2">
      <c r="A150" s="4" t="s">
        <v>792</v>
      </c>
      <c r="B150" t="s">
        <v>298</v>
      </c>
      <c r="C150" t="s">
        <v>299</v>
      </c>
      <c r="D150" t="s">
        <v>298</v>
      </c>
      <c r="E150" s="2" t="s">
        <v>461</v>
      </c>
      <c r="F150" t="str">
        <f t="shared" si="3"/>
        <v>150_ZMB.pdf</v>
      </c>
    </row>
    <row r="151" spans="1:6" x14ac:dyDescent="0.2">
      <c r="A151" s="4" t="s">
        <v>793</v>
      </c>
      <c r="B151" t="s">
        <v>300</v>
      </c>
      <c r="C151" t="s">
        <v>301</v>
      </c>
      <c r="D151" t="s">
        <v>300</v>
      </c>
      <c r="E151" t="s">
        <v>589</v>
      </c>
      <c r="F151" t="str">
        <f t="shared" si="3"/>
        <v>151_BDI.pdf</v>
      </c>
    </row>
    <row r="152" spans="1:6" x14ac:dyDescent="0.2">
      <c r="A152" s="4" t="s">
        <v>794</v>
      </c>
      <c r="B152" t="s">
        <v>302</v>
      </c>
      <c r="C152" t="s">
        <v>303</v>
      </c>
      <c r="D152" t="s">
        <v>302</v>
      </c>
      <c r="E152" t="s">
        <v>481</v>
      </c>
      <c r="F152" t="str">
        <f t="shared" si="3"/>
        <v>152_PNG.pdf</v>
      </c>
    </row>
    <row r="153" spans="1:6" x14ac:dyDescent="0.2">
      <c r="A153" s="4" t="s">
        <v>795</v>
      </c>
      <c r="B153" t="s">
        <v>304</v>
      </c>
      <c r="C153" t="s">
        <v>305</v>
      </c>
      <c r="D153" t="s">
        <v>304</v>
      </c>
      <c r="E153" t="s">
        <v>590</v>
      </c>
      <c r="F153" t="str">
        <f t="shared" si="3"/>
        <v>153_MOZ.pdf</v>
      </c>
    </row>
    <row r="154" spans="1:6" x14ac:dyDescent="0.2">
      <c r="A154" s="4" t="s">
        <v>796</v>
      </c>
      <c r="B154" t="s">
        <v>306</v>
      </c>
      <c r="C154" t="s">
        <v>307</v>
      </c>
      <c r="D154" t="s">
        <v>306</v>
      </c>
      <c r="E154" t="s">
        <v>591</v>
      </c>
      <c r="F154" t="str">
        <f t="shared" si="3"/>
        <v>154_DJI.pdf</v>
      </c>
    </row>
    <row r="155" spans="1:6" x14ac:dyDescent="0.2">
      <c r="A155" s="4" t="s">
        <v>797</v>
      </c>
      <c r="B155" t="s">
        <v>308</v>
      </c>
      <c r="C155" t="s">
        <v>309</v>
      </c>
      <c r="D155" t="s">
        <v>308</v>
      </c>
      <c r="E155" t="s">
        <v>480</v>
      </c>
      <c r="F155" t="str">
        <f t="shared" si="3"/>
        <v>155_COG.pdf</v>
      </c>
    </row>
    <row r="156" spans="1:6" x14ac:dyDescent="0.2">
      <c r="A156" s="4" t="s">
        <v>798</v>
      </c>
      <c r="B156" t="s">
        <v>310</v>
      </c>
      <c r="C156" t="s">
        <v>311</v>
      </c>
      <c r="D156" t="s">
        <v>310</v>
      </c>
      <c r="E156" t="s">
        <v>433</v>
      </c>
      <c r="F156" t="str">
        <f t="shared" si="3"/>
        <v>156_HTI.pdf</v>
      </c>
    </row>
    <row r="157" spans="1:6" x14ac:dyDescent="0.2">
      <c r="A157" s="4" t="s">
        <v>799</v>
      </c>
      <c r="B157" t="s">
        <v>312</v>
      </c>
      <c r="C157" t="s">
        <v>313</v>
      </c>
      <c r="D157" t="s">
        <v>312</v>
      </c>
      <c r="E157" t="s">
        <v>592</v>
      </c>
      <c r="F157" t="str">
        <f t="shared" si="3"/>
        <v>157_BFA.pdf</v>
      </c>
    </row>
    <row r="158" spans="1:6" x14ac:dyDescent="0.2">
      <c r="A158" s="4" t="s">
        <v>800</v>
      </c>
      <c r="B158" t="s">
        <v>314</v>
      </c>
      <c r="C158" t="s">
        <v>315</v>
      </c>
      <c r="D158" t="s">
        <v>314</v>
      </c>
      <c r="E158" t="s">
        <v>593</v>
      </c>
      <c r="F158" t="str">
        <f t="shared" si="3"/>
        <v>158_COM.pdf</v>
      </c>
    </row>
    <row r="159" spans="1:6" x14ac:dyDescent="0.2">
      <c r="A159" s="4" t="s">
        <v>801</v>
      </c>
      <c r="B159" t="s">
        <v>316</v>
      </c>
      <c r="C159" t="s">
        <v>317</v>
      </c>
      <c r="D159" t="s">
        <v>316</v>
      </c>
      <c r="E159" t="s">
        <v>594</v>
      </c>
      <c r="F159" t="str">
        <f t="shared" si="3"/>
        <v>159_AGO.pdf</v>
      </c>
    </row>
    <row r="160" spans="1:6" x14ac:dyDescent="0.2">
      <c r="A160" s="4" t="s">
        <v>802</v>
      </c>
      <c r="B160" t="s">
        <v>318</v>
      </c>
      <c r="C160" t="s">
        <v>319</v>
      </c>
      <c r="D160" t="s">
        <v>318</v>
      </c>
      <c r="E160" t="s">
        <v>595</v>
      </c>
      <c r="F160" t="str">
        <f t="shared" si="3"/>
        <v>160_MDG.pdf</v>
      </c>
    </row>
    <row r="161" spans="1:6" x14ac:dyDescent="0.2">
      <c r="A161" s="4" t="s">
        <v>803</v>
      </c>
      <c r="B161" t="s">
        <v>320</v>
      </c>
      <c r="C161" t="s">
        <v>321</v>
      </c>
      <c r="D161" t="s">
        <v>320</v>
      </c>
      <c r="E161" t="s">
        <v>596</v>
      </c>
      <c r="F161" t="str">
        <f t="shared" si="3"/>
        <v>161_LBR.pdf</v>
      </c>
    </row>
    <row r="162" spans="1:6" x14ac:dyDescent="0.2">
      <c r="A162" s="4" t="s">
        <v>804</v>
      </c>
      <c r="B162" t="s">
        <v>322</v>
      </c>
      <c r="C162" t="s">
        <v>323</v>
      </c>
      <c r="D162" t="s">
        <v>322</v>
      </c>
      <c r="E162" t="s">
        <v>597</v>
      </c>
      <c r="F162" t="str">
        <f t="shared" si="3"/>
        <v>162_AFG.pdf</v>
      </c>
    </row>
    <row r="163" spans="1:6" x14ac:dyDescent="0.2">
      <c r="A163" s="4" t="s">
        <v>805</v>
      </c>
      <c r="B163" t="s">
        <v>324</v>
      </c>
      <c r="C163" t="s">
        <v>325</v>
      </c>
      <c r="D163" t="s">
        <v>324</v>
      </c>
      <c r="E163" s="2" t="s">
        <v>453</v>
      </c>
      <c r="F163" t="str">
        <f t="shared" si="3"/>
        <v>163_SDN.pdf</v>
      </c>
    </row>
    <row r="164" spans="1:6" x14ac:dyDescent="0.2">
      <c r="A164" s="4" t="s">
        <v>806</v>
      </c>
      <c r="B164" t="s">
        <v>326</v>
      </c>
      <c r="C164" t="s">
        <v>327</v>
      </c>
      <c r="D164" t="s">
        <v>326</v>
      </c>
      <c r="E164" t="s">
        <v>598</v>
      </c>
      <c r="F164" t="str">
        <f t="shared" si="3"/>
        <v>164_NER.pdf</v>
      </c>
    </row>
    <row r="165" spans="1:6" x14ac:dyDescent="0.2">
      <c r="A165" s="4" t="s">
        <v>807</v>
      </c>
      <c r="B165" t="s">
        <v>328</v>
      </c>
      <c r="C165" t="s">
        <v>329</v>
      </c>
      <c r="D165" t="s">
        <v>328</v>
      </c>
      <c r="E165" t="s">
        <v>452</v>
      </c>
      <c r="F165" t="str">
        <f t="shared" si="3"/>
        <v>165_SOM.pdf</v>
      </c>
    </row>
    <row r="166" spans="1:6" x14ac:dyDescent="0.2">
      <c r="A166" s="4" t="s">
        <v>808</v>
      </c>
      <c r="B166" t="s">
        <v>330</v>
      </c>
      <c r="C166" t="s">
        <v>331</v>
      </c>
      <c r="D166" t="s">
        <v>330</v>
      </c>
      <c r="E166" t="s">
        <v>458</v>
      </c>
      <c r="F166" t="str">
        <f t="shared" si="3"/>
        <v>166_YEM.pdf</v>
      </c>
    </row>
    <row r="167" spans="1:6" x14ac:dyDescent="0.2">
      <c r="A167" s="4" t="s">
        <v>809</v>
      </c>
      <c r="B167" t="s">
        <v>332</v>
      </c>
      <c r="C167" t="s">
        <v>333</v>
      </c>
      <c r="D167" t="s">
        <v>332</v>
      </c>
      <c r="E167" s="2" t="s">
        <v>460</v>
      </c>
      <c r="F167" t="str">
        <f t="shared" si="3"/>
        <v>167_TCD.pdf</v>
      </c>
    </row>
    <row r="168" spans="1:6" x14ac:dyDescent="0.2">
      <c r="A168" s="4" t="s">
        <v>810</v>
      </c>
      <c r="B168" t="s">
        <v>334</v>
      </c>
      <c r="C168" t="s">
        <v>335</v>
      </c>
      <c r="D168" t="s">
        <v>334</v>
      </c>
      <c r="E168" t="s">
        <v>599</v>
      </c>
      <c r="F168" t="str">
        <f t="shared" si="3"/>
        <v>168_CAF.pdf</v>
      </c>
    </row>
    <row r="169" spans="1:6" x14ac:dyDescent="0.2">
      <c r="A169" s="4" t="s">
        <v>811</v>
      </c>
      <c r="B169" t="s">
        <v>336</v>
      </c>
      <c r="C169" t="s">
        <v>337</v>
      </c>
      <c r="D169" t="s">
        <v>336</v>
      </c>
      <c r="E169" t="s">
        <v>600</v>
      </c>
      <c r="F169" t="str">
        <f t="shared" si="3"/>
        <v>169_SSD.pdf</v>
      </c>
    </row>
    <row r="170" spans="1:6" x14ac:dyDescent="0.2">
      <c r="A170" s="4" t="s">
        <v>812</v>
      </c>
      <c r="B170" t="s">
        <v>338</v>
      </c>
      <c r="C170" t="s">
        <v>339</v>
      </c>
      <c r="D170" t="s">
        <v>338</v>
      </c>
      <c r="E170" t="s">
        <v>601</v>
      </c>
      <c r="F170" t="str">
        <f t="shared" si="3"/>
        <v>170_AND.pdf</v>
      </c>
    </row>
    <row r="171" spans="1:6" x14ac:dyDescent="0.2">
      <c r="A171" s="4" t="s">
        <v>813</v>
      </c>
      <c r="B171" t="s">
        <v>340</v>
      </c>
      <c r="C171" t="s">
        <v>341</v>
      </c>
      <c r="D171" t="s">
        <v>340</v>
      </c>
      <c r="E171" s="2" t="s">
        <v>425</v>
      </c>
      <c r="F171" t="str">
        <f t="shared" si="3"/>
        <v>171_ATG.pdf</v>
      </c>
    </row>
    <row r="172" spans="1:6" x14ac:dyDescent="0.2">
      <c r="A172" s="4" t="s">
        <v>814</v>
      </c>
      <c r="B172" t="s">
        <v>342</v>
      </c>
      <c r="C172" t="s">
        <v>343</v>
      </c>
      <c r="D172" t="s">
        <v>342</v>
      </c>
      <c r="E172" t="s">
        <v>603</v>
      </c>
      <c r="F172" t="str">
        <f t="shared" si="3"/>
        <v>172_DMA.pdf</v>
      </c>
    </row>
    <row r="173" spans="1:6" x14ac:dyDescent="0.2">
      <c r="A173" s="4" t="s">
        <v>815</v>
      </c>
      <c r="B173" t="s">
        <v>344</v>
      </c>
      <c r="C173" t="s">
        <v>345</v>
      </c>
      <c r="D173" t="s">
        <v>344</v>
      </c>
      <c r="E173" t="s">
        <v>604</v>
      </c>
      <c r="F173" t="str">
        <f t="shared" si="3"/>
        <v>173_ERI.pdf</v>
      </c>
    </row>
    <row r="174" spans="1:6" x14ac:dyDescent="0.2">
      <c r="A174" s="4" t="s">
        <v>816</v>
      </c>
      <c r="B174" t="s">
        <v>346</v>
      </c>
      <c r="C174" t="s">
        <v>347</v>
      </c>
      <c r="D174" t="s">
        <v>346</v>
      </c>
      <c r="E174" t="s">
        <v>605</v>
      </c>
      <c r="F174" t="str">
        <f t="shared" si="3"/>
        <v>174_FSM.pdf</v>
      </c>
    </row>
    <row r="175" spans="1:6" x14ac:dyDescent="0.2">
      <c r="A175" s="4" t="s">
        <v>817</v>
      </c>
      <c r="B175" t="s">
        <v>348</v>
      </c>
      <c r="C175" t="s">
        <v>349</v>
      </c>
      <c r="D175" t="s">
        <v>348</v>
      </c>
      <c r="E175" t="s">
        <v>606</v>
      </c>
      <c r="F175" t="str">
        <f t="shared" si="3"/>
        <v>175_GNB.pdf</v>
      </c>
    </row>
    <row r="176" spans="1:6" x14ac:dyDescent="0.2">
      <c r="A176" s="4" t="s">
        <v>818</v>
      </c>
      <c r="B176" t="s">
        <v>350</v>
      </c>
      <c r="C176" t="s">
        <v>351</v>
      </c>
      <c r="D176" t="s">
        <v>350</v>
      </c>
      <c r="E176" t="s">
        <v>607</v>
      </c>
      <c r="F176" t="str">
        <f t="shared" si="3"/>
        <v>176_GNQ.pdf</v>
      </c>
    </row>
    <row r="177" spans="1:6" x14ac:dyDescent="0.2">
      <c r="A177" s="4" t="s">
        <v>819</v>
      </c>
      <c r="B177" t="s">
        <v>352</v>
      </c>
      <c r="C177" t="s">
        <v>353</v>
      </c>
      <c r="D177" t="s">
        <v>352</v>
      </c>
      <c r="E177" s="2" t="s">
        <v>417</v>
      </c>
      <c r="F177" t="str">
        <f t="shared" si="3"/>
        <v>177_GRD.pdf</v>
      </c>
    </row>
    <row r="178" spans="1:6" x14ac:dyDescent="0.2">
      <c r="A178" s="4" t="s">
        <v>820</v>
      </c>
      <c r="B178" t="s">
        <v>354</v>
      </c>
      <c r="C178" t="s">
        <v>355</v>
      </c>
      <c r="D178" t="s">
        <v>354</v>
      </c>
      <c r="E178" t="s">
        <v>608</v>
      </c>
      <c r="F178" t="str">
        <f t="shared" si="3"/>
        <v>178_KIR.pdf</v>
      </c>
    </row>
    <row r="179" spans="1:6" x14ac:dyDescent="0.2">
      <c r="A179" s="4" t="s">
        <v>821</v>
      </c>
      <c r="B179" t="s">
        <v>356</v>
      </c>
      <c r="C179" t="s">
        <v>357</v>
      </c>
      <c r="D179" t="s">
        <v>356</v>
      </c>
      <c r="E179" s="2" t="s">
        <v>435</v>
      </c>
      <c r="F179" t="str">
        <f t="shared" si="3"/>
        <v>179_KNA.pdf</v>
      </c>
    </row>
    <row r="180" spans="1:6" x14ac:dyDescent="0.2">
      <c r="A180" s="4" t="s">
        <v>822</v>
      </c>
      <c r="B180" t="s">
        <v>358</v>
      </c>
      <c r="C180" t="s">
        <v>359</v>
      </c>
      <c r="D180" t="s">
        <v>358</v>
      </c>
      <c r="E180" t="s">
        <v>446</v>
      </c>
      <c r="F180" t="str">
        <f t="shared" si="3"/>
        <v>180_LBY.pdf</v>
      </c>
    </row>
    <row r="181" spans="1:6" x14ac:dyDescent="0.2">
      <c r="A181" s="4" t="s">
        <v>823</v>
      </c>
      <c r="B181" t="s">
        <v>360</v>
      </c>
      <c r="C181" t="s">
        <v>361</v>
      </c>
      <c r="D181" t="s">
        <v>360</v>
      </c>
      <c r="E181" s="2" t="s">
        <v>414</v>
      </c>
      <c r="F181" t="str">
        <f t="shared" si="3"/>
        <v>181_LCA.pdf</v>
      </c>
    </row>
    <row r="182" spans="1:6" x14ac:dyDescent="0.2">
      <c r="A182" s="4" t="s">
        <v>824</v>
      </c>
      <c r="B182" t="s">
        <v>362</v>
      </c>
      <c r="C182" t="s">
        <v>363</v>
      </c>
      <c r="D182" t="s">
        <v>362</v>
      </c>
      <c r="E182" t="s">
        <v>609</v>
      </c>
      <c r="F182" t="str">
        <f t="shared" si="3"/>
        <v>182_LIE.pdf</v>
      </c>
    </row>
    <row r="183" spans="1:6" x14ac:dyDescent="0.2">
      <c r="A183" s="4" t="s">
        <v>825</v>
      </c>
      <c r="B183" t="s">
        <v>364</v>
      </c>
      <c r="C183" t="s">
        <v>365</v>
      </c>
      <c r="D183" t="s">
        <v>364</v>
      </c>
      <c r="E183" t="s">
        <v>610</v>
      </c>
      <c r="F183" t="str">
        <f t="shared" si="3"/>
        <v>183_MCO.pdf</v>
      </c>
    </row>
    <row r="184" spans="1:6" x14ac:dyDescent="0.2">
      <c r="A184" s="4" t="s">
        <v>826</v>
      </c>
      <c r="B184" t="s">
        <v>366</v>
      </c>
      <c r="C184" t="s">
        <v>367</v>
      </c>
      <c r="D184" t="s">
        <v>366</v>
      </c>
      <c r="E184" t="s">
        <v>611</v>
      </c>
      <c r="F184" t="str">
        <f t="shared" si="3"/>
        <v>184_MHL.pdf</v>
      </c>
    </row>
    <row r="185" spans="1:6" x14ac:dyDescent="0.2">
      <c r="A185" s="4" t="s">
        <v>827</v>
      </c>
      <c r="B185" t="s">
        <v>368</v>
      </c>
      <c r="C185" t="s">
        <v>369</v>
      </c>
      <c r="D185" t="s">
        <v>368</v>
      </c>
      <c r="E185" t="s">
        <v>612</v>
      </c>
      <c r="F185" t="str">
        <f t="shared" si="3"/>
        <v>185_NRU.pdf</v>
      </c>
    </row>
    <row r="186" spans="1:6" x14ac:dyDescent="0.2">
      <c r="A186" s="4" t="s">
        <v>828</v>
      </c>
      <c r="B186" t="s">
        <v>370</v>
      </c>
      <c r="C186" t="s">
        <v>371</v>
      </c>
      <c r="D186" t="s">
        <v>370</v>
      </c>
      <c r="E186" t="s">
        <v>613</v>
      </c>
      <c r="F186" t="str">
        <f t="shared" si="3"/>
        <v>186_PLW.pdf</v>
      </c>
    </row>
    <row r="187" spans="1:6" x14ac:dyDescent="0.2">
      <c r="A187" s="4" t="s">
        <v>829</v>
      </c>
      <c r="B187" t="s">
        <v>372</v>
      </c>
      <c r="C187" t="s">
        <v>373</v>
      </c>
      <c r="D187" t="s">
        <v>372</v>
      </c>
      <c r="F187" t="str">
        <f t="shared" si="3"/>
        <v>187_PRK.pdf</v>
      </c>
    </row>
    <row r="188" spans="1:6" x14ac:dyDescent="0.2">
      <c r="A188" s="4" t="s">
        <v>830</v>
      </c>
      <c r="B188" t="s">
        <v>374</v>
      </c>
      <c r="C188" t="s">
        <v>375</v>
      </c>
      <c r="D188" t="s">
        <v>374</v>
      </c>
      <c r="E188" t="s">
        <v>463</v>
      </c>
      <c r="F188" t="str">
        <f t="shared" si="3"/>
        <v>188_SLB.pdf</v>
      </c>
    </row>
    <row r="189" spans="1:6" x14ac:dyDescent="0.2">
      <c r="A189" s="4" t="s">
        <v>831</v>
      </c>
      <c r="B189" t="s">
        <v>376</v>
      </c>
      <c r="C189" t="s">
        <v>377</v>
      </c>
      <c r="D189" t="s">
        <v>376</v>
      </c>
      <c r="F189" t="str">
        <f t="shared" si="3"/>
        <v>189_SMR.pdf</v>
      </c>
    </row>
    <row r="190" spans="1:6" x14ac:dyDescent="0.2">
      <c r="A190" s="4" t="s">
        <v>832</v>
      </c>
      <c r="B190" t="s">
        <v>378</v>
      </c>
      <c r="C190" t="s">
        <v>379</v>
      </c>
      <c r="D190" t="s">
        <v>378</v>
      </c>
      <c r="E190" s="2" t="s">
        <v>393</v>
      </c>
      <c r="F190" t="str">
        <f t="shared" si="3"/>
        <v>190_TLS.pdf</v>
      </c>
    </row>
    <row r="191" spans="1:6" x14ac:dyDescent="0.2">
      <c r="A191" s="4" t="s">
        <v>833</v>
      </c>
      <c r="B191" t="s">
        <v>380</v>
      </c>
      <c r="C191" t="s">
        <v>381</v>
      </c>
      <c r="D191" t="s">
        <v>380</v>
      </c>
      <c r="E191" t="s">
        <v>470</v>
      </c>
      <c r="F191" t="str">
        <f t="shared" si="3"/>
        <v>191_TON.pdf</v>
      </c>
    </row>
    <row r="192" spans="1:6" x14ac:dyDescent="0.2">
      <c r="A192" s="4" t="s">
        <v>834</v>
      </c>
      <c r="B192" t="s">
        <v>382</v>
      </c>
      <c r="C192" t="s">
        <v>383</v>
      </c>
      <c r="D192" t="s">
        <v>382</v>
      </c>
      <c r="E192" t="s">
        <v>614</v>
      </c>
      <c r="F192" t="str">
        <f t="shared" si="3"/>
        <v>192_TUV.pdf</v>
      </c>
    </row>
    <row r="193" spans="1:6" x14ac:dyDescent="0.2">
      <c r="A193" s="4" t="s">
        <v>835</v>
      </c>
      <c r="B193" t="s">
        <v>384</v>
      </c>
      <c r="C193" t="s">
        <v>385</v>
      </c>
      <c r="D193" t="s">
        <v>384</v>
      </c>
      <c r="E193" s="2" t="s">
        <v>432</v>
      </c>
      <c r="F193" t="str">
        <f t="shared" si="3"/>
        <v>193_VCT.pdf</v>
      </c>
    </row>
    <row r="194" spans="1:6" x14ac:dyDescent="0.2">
      <c r="A194" s="4" t="s">
        <v>836</v>
      </c>
      <c r="B194" t="s">
        <v>386</v>
      </c>
      <c r="C194" t="s">
        <v>387</v>
      </c>
      <c r="D194" t="s">
        <v>386</v>
      </c>
      <c r="E194" t="s">
        <v>615</v>
      </c>
      <c r="F194" t="str">
        <f t="shared" si="3"/>
        <v>194_VUT.pdf</v>
      </c>
    </row>
    <row r="196" spans="1:6" x14ac:dyDescent="0.2">
      <c r="E196">
        <f>COUNTA(E2:E194)</f>
        <v>187</v>
      </c>
    </row>
    <row r="197" spans="1:6" x14ac:dyDescent="0.2">
      <c r="E197" s="3">
        <f>E196/193</f>
        <v>0.9689119170984456</v>
      </c>
    </row>
  </sheetData>
  <phoneticPr fontId="6" type="noConversion"/>
  <hyperlinks>
    <hyperlink ref="E5" r:id="rId1" xr:uid="{81F8C7F4-E000-8048-AB0A-D265FA949D2D}"/>
    <hyperlink ref="E2" r:id="rId2" xr:uid="{AC49E93F-54CA-0241-8BA4-9B02F4B05DB6}"/>
    <hyperlink ref="E3" r:id="rId3" xr:uid="{D83F054A-0747-BF4D-9B95-A6324B614493}"/>
    <hyperlink ref="E8" r:id="rId4" xr:uid="{83B071F7-DE4B-0641-8D5A-687CA7EB2496}"/>
    <hyperlink ref="E78" r:id="rId5" xr:uid="{85BC4AFA-6ACC-EA43-9396-0E2E2E40802E}"/>
    <hyperlink ref="E190" r:id="rId6" xr:uid="{6F42DA47-ED1C-064A-95E3-8878AE3F97F7}"/>
    <hyperlink ref="E55" r:id="rId7" xr:uid="{42CF1B53-E7FE-CA4E-B769-03262C2C5E50}"/>
    <hyperlink ref="E21" r:id="rId8" xr:uid="{1194C7E6-1B94-9744-9F04-EBDFD23B9F48}"/>
    <hyperlink ref="E57" r:id="rId9" xr:uid="{8EE7BB23-0784-594A-990A-B80159884521}"/>
    <hyperlink ref="E20" r:id="rId10" xr:uid="{390615AD-56EE-4740-9A53-5C78C5A20369}"/>
    <hyperlink ref="E89" r:id="rId11" xr:uid="{710387E7-F4CB-A341-9AC6-329EC819D277}"/>
    <hyperlink ref="E62" r:id="rId12" xr:uid="{7178E4E1-DACF-1F49-AAB1-43300280FD7C}"/>
    <hyperlink ref="E114" r:id="rId13" xr:uid="{A43215BA-F35D-2249-ADC7-AF426A0D1A73}"/>
    <hyperlink ref="E25" r:id="rId14" xr:uid="{B7F18AA3-33CD-D04F-AE91-99989D98AF09}"/>
    <hyperlink ref="E130" r:id="rId15" xr:uid="{5DEC9F33-4CFB-D14C-8327-6535C1D77D0D}"/>
    <hyperlink ref="E111" r:id="rId16" xr:uid="{8FADAE3D-1542-0543-8E58-69B8BADFA75C}"/>
    <hyperlink ref="E120" r:id="rId17" xr:uid="{698DB453-A2E1-5147-9C51-1AD5ACF174AB}"/>
    <hyperlink ref="E48" r:id="rId18" xr:uid="{1644C745-D2A3-7D4C-9B28-EBAD7F3CCB46}"/>
    <hyperlink ref="E96" r:id="rId19" xr:uid="{DAA0B733-F143-2940-8DC2-28EF12F5E9F7}"/>
    <hyperlink ref="E71" r:id="rId20" xr:uid="{7E51A3E8-B030-8F42-9727-6F9F1B1495AC}"/>
    <hyperlink ref="E181" r:id="rId21" xr:uid="{19CB8D40-9C57-B74A-875C-D4811DDE7D0B}"/>
    <hyperlink ref="E65" r:id="rId22" xr:uid="{DDE0663B-A87B-974B-833F-5EC222C38888}"/>
    <hyperlink ref="E177" r:id="rId23" xr:uid="{5AA074FB-1A43-9D4F-9D0C-7E84E961DFFC}"/>
    <hyperlink ref="E115" r:id="rId24" xr:uid="{1AA762A7-C541-584B-B8EA-40784E9BD88F}"/>
    <hyperlink ref="E88" r:id="rId25" xr:uid="{6A9843A3-ABA0-EF47-A277-9190E8736068}"/>
    <hyperlink ref="E19" r:id="rId26" xr:uid="{110A1CCB-BE11-AD4F-95CB-4A0CFB892289}"/>
    <hyperlink ref="E131" r:id="rId27" xr:uid="{FEFABA1E-F513-B140-922D-3DB6A7278C36}"/>
    <hyperlink ref="E123" r:id="rId28" xr:uid="{65196F48-6F55-4340-85AE-10E9ACBDF10F}"/>
    <hyperlink ref="E135" r:id="rId29" xr:uid="{D2D738ED-3419-594C-B5E1-4417CB316C41}"/>
    <hyperlink ref="E82" r:id="rId30" xr:uid="{D51753B0-16D1-434F-B968-2DA24375F047}"/>
    <hyperlink ref="E171" r:id="rId31" xr:uid="{BC8438E0-B5FE-924C-9734-174B4B29F6BD}"/>
    <hyperlink ref="E128" r:id="rId32" xr:uid="{E18A96A0-2F2F-CE4C-A22C-1675A04F9E12}"/>
    <hyperlink ref="E40" r:id="rId33" xr:uid="{F48941A3-6048-0D4F-9ECE-0439D2A7C6F2}"/>
    <hyperlink ref="E107" r:id="rId34" xr:uid="{560CF893-E536-F349-B95B-D1FFA749B539}"/>
    <hyperlink ref="E101" r:id="rId35" xr:uid="{6CCEE235-4B81-534C-9136-68391E94C4CC}"/>
    <hyperlink ref="E137" r:id="rId36" xr:uid="{1D63C9C0-655E-4D4E-B791-B23DE581EB25}"/>
    <hyperlink ref="E193" r:id="rId37" xr:uid="{258759F4-D779-9B44-855B-310AF5098273}"/>
    <hyperlink ref="E33" r:id="rId38" xr:uid="{0596D965-00B5-A643-96A1-0B39EE7A8185}"/>
    <hyperlink ref="E179" r:id="rId39" xr:uid="{A1152798-FAF4-B946-84D1-5B5A457DD5E2}"/>
    <hyperlink ref="E125" r:id="rId40" xr:uid="{33654E67-A6C2-E543-8CEC-CDF2DEAABC22}"/>
    <hyperlink ref="E92" r:id="rId41" xr:uid="{51F61C1F-BB21-F948-9D9F-21D07F2499D7}"/>
    <hyperlink ref="E124" r:id="rId42" xr:uid="{65D9E475-04D9-2B45-ACBE-A12DB1F61DAA}"/>
    <hyperlink ref="E67" r:id="rId43" xr:uid="{4FE0023F-273F-4E42-9274-116EBAE9CA43}"/>
    <hyperlink ref="E28" r:id="rId44" xr:uid="{B2097774-51D6-A04A-A9B8-35F02903730C}"/>
    <hyperlink ref="E102" r:id="rId45" xr:uid="{42791818-C3E6-754B-87C6-DD95149BCD71}"/>
    <hyperlink ref="E113" r:id="rId46" xr:uid="{4E5938CC-9D34-FB4C-ACE2-77D3E5E8C0E1}"/>
    <hyperlink ref="E163" r:id="rId47" xr:uid="{83F5ED5C-6C07-124E-8582-C61472AFCBCD}"/>
    <hyperlink ref="E167" r:id="rId48" xr:uid="{6379CEAE-ABBC-1242-8F6B-0CEE00863D3D}"/>
    <hyperlink ref="E150" r:id="rId49" xr:uid="{C359EAF8-50AA-A24E-BF0A-21A3C129D0CF}"/>
    <hyperlink ref="E11" r:id="rId50" xr:uid="{4F7041F1-6D2B-FF47-B0BC-023D4895D9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BFB6-A366-8A4D-A3BF-70BC242C693F}">
  <dimension ref="A1:L197"/>
  <sheetViews>
    <sheetView topLeftCell="A20" workbookViewId="0">
      <selection activeCell="G30" sqref="G30"/>
    </sheetView>
  </sheetViews>
  <sheetFormatPr baseColWidth="10" defaultRowHeight="15" x14ac:dyDescent="0.2"/>
  <cols>
    <col min="10" max="10" width="36.1640625" bestFit="1" customWidth="1"/>
  </cols>
  <sheetData>
    <row r="1" spans="1:12" ht="49" x14ac:dyDescent="0.2">
      <c r="A1" s="1" t="s">
        <v>0</v>
      </c>
      <c r="B1" s="1" t="s">
        <v>1</v>
      </c>
      <c r="C1" s="1" t="s">
        <v>0</v>
      </c>
      <c r="D1" s="1" t="s">
        <v>617</v>
      </c>
      <c r="E1" s="1" t="s">
        <v>619</v>
      </c>
      <c r="F1" s="1" t="s">
        <v>618</v>
      </c>
      <c r="L1" t="s">
        <v>511</v>
      </c>
    </row>
    <row r="2" spans="1:12" x14ac:dyDescent="0.2">
      <c r="A2" t="s">
        <v>2</v>
      </c>
      <c r="B2" t="s">
        <v>3</v>
      </c>
      <c r="C2" t="s">
        <v>2</v>
      </c>
      <c r="D2" s="2" t="s">
        <v>390</v>
      </c>
      <c r="E2" t="s">
        <v>389</v>
      </c>
      <c r="F2" t="s">
        <v>620</v>
      </c>
      <c r="J2" t="s">
        <v>492</v>
      </c>
    </row>
    <row r="3" spans="1:12" x14ac:dyDescent="0.2">
      <c r="A3" t="s">
        <v>4</v>
      </c>
      <c r="B3" t="s">
        <v>5</v>
      </c>
      <c r="C3" t="s">
        <v>4</v>
      </c>
      <c r="D3" s="2" t="s">
        <v>390</v>
      </c>
      <c r="E3" t="s">
        <v>389</v>
      </c>
      <c r="F3" t="s">
        <v>620</v>
      </c>
      <c r="I3" t="s">
        <v>546</v>
      </c>
      <c r="J3" t="s">
        <v>493</v>
      </c>
    </row>
    <row r="4" spans="1:12" x14ac:dyDescent="0.2">
      <c r="A4" t="s">
        <v>6</v>
      </c>
      <c r="B4" t="s">
        <v>7</v>
      </c>
      <c r="C4" t="s">
        <v>6</v>
      </c>
      <c r="D4" s="2" t="s">
        <v>838</v>
      </c>
      <c r="E4" t="s">
        <v>389</v>
      </c>
      <c r="F4" t="s">
        <v>623</v>
      </c>
      <c r="H4" t="s">
        <v>491</v>
      </c>
      <c r="I4" t="s">
        <v>837</v>
      </c>
      <c r="J4" t="s">
        <v>494</v>
      </c>
    </row>
    <row r="5" spans="1:12" x14ac:dyDescent="0.2">
      <c r="A5" t="s">
        <v>8</v>
      </c>
      <c r="B5" t="s">
        <v>9</v>
      </c>
      <c r="C5" t="s">
        <v>8</v>
      </c>
      <c r="D5" s="2" t="s">
        <v>388</v>
      </c>
      <c r="E5" t="s">
        <v>389</v>
      </c>
      <c r="F5" t="s">
        <v>620</v>
      </c>
      <c r="I5" t="s">
        <v>840</v>
      </c>
      <c r="J5" t="s">
        <v>495</v>
      </c>
    </row>
    <row r="6" spans="1:12" x14ac:dyDescent="0.2">
      <c r="A6" t="s">
        <v>10</v>
      </c>
      <c r="B6" t="s">
        <v>11</v>
      </c>
      <c r="C6" t="s">
        <v>10</v>
      </c>
      <c r="D6" t="s">
        <v>462</v>
      </c>
      <c r="E6" t="s">
        <v>389</v>
      </c>
      <c r="F6" t="s">
        <v>621</v>
      </c>
      <c r="G6" t="s">
        <v>441</v>
      </c>
      <c r="J6" t="s">
        <v>496</v>
      </c>
    </row>
    <row r="7" spans="1:12" x14ac:dyDescent="0.2">
      <c r="A7" t="s">
        <v>12</v>
      </c>
      <c r="B7" t="s">
        <v>13</v>
      </c>
      <c r="C7" t="s">
        <v>12</v>
      </c>
      <c r="D7" s="2" t="s">
        <v>839</v>
      </c>
      <c r="E7" t="s">
        <v>389</v>
      </c>
      <c r="F7" t="s">
        <v>620</v>
      </c>
      <c r="H7" t="s">
        <v>491</v>
      </c>
      <c r="I7" t="s">
        <v>546</v>
      </c>
      <c r="J7" t="s">
        <v>497</v>
      </c>
    </row>
    <row r="8" spans="1:12" x14ac:dyDescent="0.2">
      <c r="A8" t="s">
        <v>14</v>
      </c>
      <c r="B8" t="s">
        <v>15</v>
      </c>
      <c r="C8" t="s">
        <v>14</v>
      </c>
      <c r="D8" s="2" t="s">
        <v>391</v>
      </c>
      <c r="E8" t="s">
        <v>389</v>
      </c>
      <c r="F8" t="s">
        <v>0</v>
      </c>
      <c r="G8" t="s">
        <v>403</v>
      </c>
      <c r="J8" t="s">
        <v>498</v>
      </c>
    </row>
    <row r="9" spans="1:12" x14ac:dyDescent="0.2">
      <c r="A9" t="s">
        <v>16</v>
      </c>
      <c r="B9" t="s">
        <v>17</v>
      </c>
      <c r="C9" t="s">
        <v>16</v>
      </c>
      <c r="D9" t="s">
        <v>841</v>
      </c>
      <c r="E9" t="s">
        <v>389</v>
      </c>
      <c r="F9" t="s">
        <v>843</v>
      </c>
      <c r="G9" t="s">
        <v>842</v>
      </c>
      <c r="H9" t="s">
        <v>491</v>
      </c>
      <c r="I9" t="s">
        <v>837</v>
      </c>
      <c r="J9" t="s">
        <v>499</v>
      </c>
    </row>
    <row r="10" spans="1:12" x14ac:dyDescent="0.2">
      <c r="A10" t="s">
        <v>18</v>
      </c>
      <c r="B10" t="s">
        <v>19</v>
      </c>
      <c r="C10" t="s">
        <v>18</v>
      </c>
      <c r="D10" t="s">
        <v>504</v>
      </c>
      <c r="E10" t="s">
        <v>389</v>
      </c>
      <c r="F10" t="s">
        <v>620</v>
      </c>
      <c r="J10" t="s">
        <v>500</v>
      </c>
    </row>
    <row r="11" spans="1:12" x14ac:dyDescent="0.2">
      <c r="A11" t="s">
        <v>20</v>
      </c>
      <c r="B11" t="s">
        <v>21</v>
      </c>
      <c r="C11" t="s">
        <v>20</v>
      </c>
      <c r="D11" s="2" t="s">
        <v>505</v>
      </c>
      <c r="E11" t="s">
        <v>389</v>
      </c>
      <c r="F11" t="s">
        <v>620</v>
      </c>
      <c r="I11" t="s">
        <v>546</v>
      </c>
      <c r="J11" t="s">
        <v>501</v>
      </c>
    </row>
    <row r="12" spans="1:12" x14ac:dyDescent="0.2">
      <c r="A12" t="s">
        <v>22</v>
      </c>
      <c r="B12" t="s">
        <v>23</v>
      </c>
      <c r="C12" t="s">
        <v>22</v>
      </c>
      <c r="D12" t="s">
        <v>506</v>
      </c>
      <c r="E12" t="s">
        <v>389</v>
      </c>
      <c r="F12" t="s">
        <v>622</v>
      </c>
      <c r="G12" t="s">
        <v>416</v>
      </c>
      <c r="J12" t="s">
        <v>502</v>
      </c>
    </row>
    <row r="13" spans="1:12" x14ac:dyDescent="0.2">
      <c r="A13" t="s">
        <v>24</v>
      </c>
      <c r="B13" t="s">
        <v>25</v>
      </c>
      <c r="C13" t="s">
        <v>24</v>
      </c>
      <c r="D13" t="s">
        <v>507</v>
      </c>
      <c r="E13" t="s">
        <v>389</v>
      </c>
      <c r="F13" t="s">
        <v>620</v>
      </c>
      <c r="J13" t="s">
        <v>503</v>
      </c>
      <c r="K13" t="s">
        <v>837</v>
      </c>
    </row>
    <row r="14" spans="1:12" x14ac:dyDescent="0.2">
      <c r="A14" t="s">
        <v>26</v>
      </c>
      <c r="B14" t="s">
        <v>27</v>
      </c>
      <c r="C14" t="s">
        <v>26</v>
      </c>
      <c r="D14" t="s">
        <v>467</v>
      </c>
      <c r="E14" t="s">
        <v>389</v>
      </c>
      <c r="F14" t="s">
        <v>620</v>
      </c>
    </row>
    <row r="15" spans="1:12" x14ac:dyDescent="0.2">
      <c r="A15" t="s">
        <v>28</v>
      </c>
      <c r="B15" t="s">
        <v>29</v>
      </c>
      <c r="C15" t="s">
        <v>28</v>
      </c>
      <c r="D15" t="s">
        <v>508</v>
      </c>
      <c r="E15" t="s">
        <v>389</v>
      </c>
      <c r="F15" t="s">
        <v>620</v>
      </c>
    </row>
    <row r="16" spans="1:12" x14ac:dyDescent="0.2">
      <c r="A16" t="s">
        <v>30</v>
      </c>
      <c r="B16" t="s">
        <v>31</v>
      </c>
      <c r="C16" t="s">
        <v>30</v>
      </c>
      <c r="D16" t="s">
        <v>509</v>
      </c>
      <c r="E16" t="s">
        <v>389</v>
      </c>
      <c r="F16" t="s">
        <v>623</v>
      </c>
      <c r="G16" t="s">
        <v>510</v>
      </c>
    </row>
    <row r="17" spans="1:12" x14ac:dyDescent="0.2">
      <c r="A17" t="s">
        <v>32</v>
      </c>
      <c r="B17" t="s">
        <v>33</v>
      </c>
      <c r="C17" t="s">
        <v>32</v>
      </c>
      <c r="D17" t="s">
        <v>512</v>
      </c>
      <c r="E17" t="s">
        <v>389</v>
      </c>
      <c r="F17" t="s">
        <v>620</v>
      </c>
      <c r="L17" t="s">
        <v>389</v>
      </c>
    </row>
    <row r="18" spans="1:12" x14ac:dyDescent="0.2">
      <c r="A18" t="s">
        <v>34</v>
      </c>
      <c r="B18" t="s">
        <v>35</v>
      </c>
      <c r="C18" t="s">
        <v>34</v>
      </c>
      <c r="D18" t="s">
        <v>513</v>
      </c>
      <c r="E18" t="s">
        <v>389</v>
      </c>
      <c r="F18" t="s">
        <v>620</v>
      </c>
    </row>
    <row r="19" spans="1:12" x14ac:dyDescent="0.2">
      <c r="A19" t="s">
        <v>36</v>
      </c>
      <c r="B19" t="s">
        <v>37</v>
      </c>
      <c r="C19" t="s">
        <v>36</v>
      </c>
      <c r="D19" s="2" t="s">
        <v>420</v>
      </c>
      <c r="E19" t="s">
        <v>389</v>
      </c>
      <c r="F19" t="s">
        <v>624</v>
      </c>
      <c r="G19" t="s">
        <v>401</v>
      </c>
    </row>
    <row r="20" spans="1:12" x14ac:dyDescent="0.2">
      <c r="A20" t="s">
        <v>38</v>
      </c>
      <c r="B20" t="s">
        <v>39</v>
      </c>
      <c r="C20" t="s">
        <v>38</v>
      </c>
      <c r="D20" s="2" t="s">
        <v>400</v>
      </c>
      <c r="E20" t="s">
        <v>389</v>
      </c>
      <c r="F20" t="s">
        <v>624</v>
      </c>
      <c r="G20" t="s">
        <v>401</v>
      </c>
    </row>
    <row r="21" spans="1:12" x14ac:dyDescent="0.2">
      <c r="A21" t="s">
        <v>40</v>
      </c>
      <c r="B21" t="s">
        <v>41</v>
      </c>
      <c r="C21" t="s">
        <v>40</v>
      </c>
      <c r="D21" s="2" t="s">
        <v>398</v>
      </c>
      <c r="E21" t="s">
        <v>389</v>
      </c>
      <c r="F21" t="s">
        <v>620</v>
      </c>
    </row>
    <row r="22" spans="1:12" x14ac:dyDescent="0.2">
      <c r="A22" t="s">
        <v>42</v>
      </c>
      <c r="B22" t="s">
        <v>43</v>
      </c>
      <c r="C22" t="s">
        <v>42</v>
      </c>
      <c r="D22" t="s">
        <v>514</v>
      </c>
      <c r="E22" t="s">
        <v>389</v>
      </c>
      <c r="F22" t="s">
        <v>620</v>
      </c>
    </row>
    <row r="23" spans="1:12" x14ac:dyDescent="0.2">
      <c r="A23" t="s">
        <v>44</v>
      </c>
      <c r="B23" t="s">
        <v>45</v>
      </c>
      <c r="C23" t="s">
        <v>44</v>
      </c>
      <c r="D23" t="s">
        <v>484</v>
      </c>
      <c r="E23" t="s">
        <v>389</v>
      </c>
      <c r="F23" t="s">
        <v>620</v>
      </c>
    </row>
    <row r="24" spans="1:12" x14ac:dyDescent="0.2">
      <c r="A24" t="s">
        <v>46</v>
      </c>
      <c r="B24" t="s">
        <v>47</v>
      </c>
      <c r="C24" t="s">
        <v>46</v>
      </c>
      <c r="D24" t="s">
        <v>515</v>
      </c>
      <c r="E24" t="s">
        <v>389</v>
      </c>
      <c r="F24" t="s">
        <v>620</v>
      </c>
    </row>
    <row r="25" spans="1:12" x14ac:dyDescent="0.2">
      <c r="A25" t="s">
        <v>48</v>
      </c>
      <c r="B25" t="s">
        <v>49</v>
      </c>
      <c r="C25" t="s">
        <v>48</v>
      </c>
      <c r="D25" s="2" t="s">
        <v>406</v>
      </c>
      <c r="E25" t="s">
        <v>389</v>
      </c>
      <c r="F25" t="s">
        <v>624</v>
      </c>
      <c r="G25" t="s">
        <v>401</v>
      </c>
    </row>
    <row r="26" spans="1:12" x14ac:dyDescent="0.2">
      <c r="A26" t="s">
        <v>50</v>
      </c>
      <c r="B26" t="s">
        <v>51</v>
      </c>
      <c r="C26" t="s">
        <v>50</v>
      </c>
      <c r="D26" t="s">
        <v>476</v>
      </c>
      <c r="E26" t="s">
        <v>389</v>
      </c>
      <c r="F26" t="s">
        <v>620</v>
      </c>
    </row>
    <row r="27" spans="1:12" x14ac:dyDescent="0.2">
      <c r="A27" t="s">
        <v>52</v>
      </c>
      <c r="B27" t="s">
        <v>53</v>
      </c>
      <c r="C27" t="s">
        <v>52</v>
      </c>
      <c r="D27" t="s">
        <v>516</v>
      </c>
      <c r="E27" t="s">
        <v>389</v>
      </c>
      <c r="F27" t="s">
        <v>620</v>
      </c>
    </row>
    <row r="28" spans="1:12" x14ac:dyDescent="0.2">
      <c r="A28" t="s">
        <v>54</v>
      </c>
      <c r="B28" t="s">
        <v>55</v>
      </c>
      <c r="C28" t="s">
        <v>54</v>
      </c>
      <c r="D28" s="2" t="s">
        <v>443</v>
      </c>
      <c r="E28" t="s">
        <v>389</v>
      </c>
      <c r="F28" t="s">
        <v>625</v>
      </c>
      <c r="G28" t="s">
        <v>439</v>
      </c>
    </row>
    <row r="29" spans="1:12" x14ac:dyDescent="0.2">
      <c r="A29" t="s">
        <v>56</v>
      </c>
      <c r="B29" t="s">
        <v>57</v>
      </c>
      <c r="C29" t="s">
        <v>56</v>
      </c>
      <c r="D29" t="s">
        <v>517</v>
      </c>
      <c r="E29" t="s">
        <v>389</v>
      </c>
      <c r="F29" t="s">
        <v>620</v>
      </c>
    </row>
    <row r="30" spans="1:12" x14ac:dyDescent="0.2">
      <c r="A30" t="s">
        <v>58</v>
      </c>
      <c r="B30" t="s">
        <v>59</v>
      </c>
      <c r="C30" t="s">
        <v>58</v>
      </c>
      <c r="D30" t="s">
        <v>518</v>
      </c>
      <c r="E30" t="s">
        <v>389</v>
      </c>
      <c r="F30" t="s">
        <v>621</v>
      </c>
      <c r="G30" t="s">
        <v>441</v>
      </c>
      <c r="J30" s="4" t="s">
        <v>616</v>
      </c>
    </row>
    <row r="31" spans="1:12" x14ac:dyDescent="0.2">
      <c r="A31" t="s">
        <v>60</v>
      </c>
      <c r="B31" t="s">
        <v>61</v>
      </c>
      <c r="C31" t="s">
        <v>60</v>
      </c>
      <c r="D31" t="s">
        <v>474</v>
      </c>
      <c r="E31" t="s">
        <v>389</v>
      </c>
      <c r="F31" t="s">
        <v>620</v>
      </c>
    </row>
    <row r="32" spans="1:12" x14ac:dyDescent="0.2">
      <c r="A32" t="s">
        <v>62</v>
      </c>
      <c r="B32" t="s">
        <v>63</v>
      </c>
      <c r="C32" t="s">
        <v>62</v>
      </c>
      <c r="D32" t="s">
        <v>844</v>
      </c>
      <c r="E32" t="s">
        <v>389</v>
      </c>
      <c r="F32" t="s">
        <v>621</v>
      </c>
      <c r="H32" t="s">
        <v>519</v>
      </c>
      <c r="I32" t="s">
        <v>837</v>
      </c>
    </row>
    <row r="33" spans="1:7" x14ac:dyDescent="0.2">
      <c r="A33" t="s">
        <v>64</v>
      </c>
      <c r="B33" t="s">
        <v>65</v>
      </c>
      <c r="C33" t="s">
        <v>64</v>
      </c>
      <c r="D33" s="2" t="s">
        <v>432</v>
      </c>
      <c r="E33" t="s">
        <v>389</v>
      </c>
      <c r="F33" t="s">
        <v>620</v>
      </c>
    </row>
    <row r="34" spans="1:7" x14ac:dyDescent="0.2">
      <c r="A34" t="s">
        <v>66</v>
      </c>
      <c r="B34" t="s">
        <v>67</v>
      </c>
      <c r="C34" t="s">
        <v>66</v>
      </c>
      <c r="D34" t="s">
        <v>520</v>
      </c>
      <c r="E34" t="s">
        <v>389</v>
      </c>
      <c r="F34" t="s">
        <v>620</v>
      </c>
    </row>
    <row r="35" spans="1:7" x14ac:dyDescent="0.2">
      <c r="A35" t="s">
        <v>68</v>
      </c>
      <c r="B35" t="s">
        <v>69</v>
      </c>
      <c r="C35" t="s">
        <v>68</v>
      </c>
      <c r="D35" t="s">
        <v>489</v>
      </c>
      <c r="E35" t="s">
        <v>389</v>
      </c>
      <c r="F35" t="s">
        <v>620</v>
      </c>
    </row>
    <row r="36" spans="1:7" x14ac:dyDescent="0.2">
      <c r="A36" t="s">
        <v>70</v>
      </c>
      <c r="B36" t="s">
        <v>71</v>
      </c>
      <c r="C36" t="s">
        <v>70</v>
      </c>
      <c r="D36" t="s">
        <v>409</v>
      </c>
      <c r="E36" t="s">
        <v>389</v>
      </c>
      <c r="F36" t="s">
        <v>624</v>
      </c>
      <c r="G36" t="s">
        <v>401</v>
      </c>
    </row>
    <row r="37" spans="1:7" x14ac:dyDescent="0.2">
      <c r="A37" t="s">
        <v>72</v>
      </c>
      <c r="B37" t="s">
        <v>73</v>
      </c>
      <c r="C37" t="s">
        <v>72</v>
      </c>
      <c r="D37" t="s">
        <v>471</v>
      </c>
      <c r="E37" t="s">
        <v>389</v>
      </c>
      <c r="F37" t="s">
        <v>620</v>
      </c>
    </row>
    <row r="38" spans="1:7" x14ac:dyDescent="0.2">
      <c r="A38" t="s">
        <v>74</v>
      </c>
      <c r="B38" t="s">
        <v>75</v>
      </c>
      <c r="C38" t="s">
        <v>74</v>
      </c>
      <c r="D38" s="2" t="s">
        <v>451</v>
      </c>
      <c r="E38" t="s">
        <v>389</v>
      </c>
      <c r="F38" t="s">
        <v>620</v>
      </c>
    </row>
    <row r="39" spans="1:7" x14ac:dyDescent="0.2">
      <c r="A39" t="s">
        <v>76</v>
      </c>
      <c r="B39" t="s">
        <v>77</v>
      </c>
      <c r="C39" t="s">
        <v>76</v>
      </c>
      <c r="D39" t="s">
        <v>478</v>
      </c>
      <c r="E39" t="s">
        <v>389</v>
      </c>
      <c r="F39" t="s">
        <v>620</v>
      </c>
    </row>
    <row r="40" spans="1:7" x14ac:dyDescent="0.2">
      <c r="A40" t="s">
        <v>78</v>
      </c>
      <c r="B40" t="s">
        <v>79</v>
      </c>
      <c r="C40" t="s">
        <v>78</v>
      </c>
      <c r="D40" s="2" t="s">
        <v>427</v>
      </c>
      <c r="E40" t="s">
        <v>389</v>
      </c>
      <c r="F40" t="s">
        <v>624</v>
      </c>
      <c r="G40" t="s">
        <v>401</v>
      </c>
    </row>
    <row r="41" spans="1:7" x14ac:dyDescent="0.2">
      <c r="A41" t="s">
        <v>80</v>
      </c>
      <c r="B41" t="s">
        <v>81</v>
      </c>
      <c r="C41" t="s">
        <v>80</v>
      </c>
      <c r="D41" t="s">
        <v>448</v>
      </c>
      <c r="E41" t="s">
        <v>389</v>
      </c>
      <c r="F41" t="s">
        <v>626</v>
      </c>
      <c r="G41" t="s">
        <v>441</v>
      </c>
    </row>
    <row r="42" spans="1:7" x14ac:dyDescent="0.2">
      <c r="A42" t="s">
        <v>82</v>
      </c>
      <c r="B42" t="s">
        <v>83</v>
      </c>
      <c r="C42" t="s">
        <v>82</v>
      </c>
      <c r="D42" t="s">
        <v>521</v>
      </c>
      <c r="E42" t="s">
        <v>389</v>
      </c>
      <c r="F42" t="s">
        <v>620</v>
      </c>
    </row>
    <row r="43" spans="1:7" x14ac:dyDescent="0.2">
      <c r="A43" t="s">
        <v>84</v>
      </c>
      <c r="B43" t="s">
        <v>85</v>
      </c>
      <c r="C43" t="s">
        <v>84</v>
      </c>
      <c r="D43" t="s">
        <v>473</v>
      </c>
      <c r="E43" t="s">
        <v>389</v>
      </c>
      <c r="F43" t="s">
        <v>620</v>
      </c>
    </row>
    <row r="44" spans="1:7" x14ac:dyDescent="0.2">
      <c r="A44" t="s">
        <v>86</v>
      </c>
      <c r="B44" t="s">
        <v>87</v>
      </c>
      <c r="C44" t="s">
        <v>86</v>
      </c>
      <c r="D44" t="s">
        <v>522</v>
      </c>
      <c r="E44" t="s">
        <v>389</v>
      </c>
      <c r="F44" t="s">
        <v>620</v>
      </c>
    </row>
    <row r="45" spans="1:7" x14ac:dyDescent="0.2">
      <c r="A45" t="s">
        <v>88</v>
      </c>
      <c r="B45" t="s">
        <v>89</v>
      </c>
      <c r="C45" t="s">
        <v>88</v>
      </c>
      <c r="D45" t="s">
        <v>523</v>
      </c>
      <c r="E45" t="s">
        <v>389</v>
      </c>
      <c r="F45" t="s">
        <v>620</v>
      </c>
    </row>
    <row r="46" spans="1:7" x14ac:dyDescent="0.2">
      <c r="A46" t="s">
        <v>90</v>
      </c>
      <c r="B46" t="s">
        <v>91</v>
      </c>
      <c r="C46" t="s">
        <v>90</v>
      </c>
      <c r="D46" t="s">
        <v>524</v>
      </c>
      <c r="E46" t="s">
        <v>389</v>
      </c>
      <c r="F46" t="s">
        <v>620</v>
      </c>
    </row>
    <row r="47" spans="1:7" x14ac:dyDescent="0.2">
      <c r="A47" t="s">
        <v>92</v>
      </c>
      <c r="B47" t="s">
        <v>93</v>
      </c>
      <c r="C47" t="s">
        <v>92</v>
      </c>
      <c r="D47" t="s">
        <v>525</v>
      </c>
      <c r="E47" t="s">
        <v>389</v>
      </c>
      <c r="F47" t="s">
        <v>620</v>
      </c>
    </row>
    <row r="48" spans="1:7" x14ac:dyDescent="0.2">
      <c r="A48" t="s">
        <v>94</v>
      </c>
      <c r="B48" t="s">
        <v>95</v>
      </c>
      <c r="C48" t="s">
        <v>94</v>
      </c>
      <c r="D48" s="2" t="s">
        <v>411</v>
      </c>
      <c r="E48" t="s">
        <v>389</v>
      </c>
      <c r="F48" t="s">
        <v>620</v>
      </c>
    </row>
    <row r="49" spans="1:8" x14ac:dyDescent="0.2">
      <c r="A49" t="s">
        <v>96</v>
      </c>
      <c r="B49" t="s">
        <v>97</v>
      </c>
      <c r="C49" t="s">
        <v>96</v>
      </c>
      <c r="D49" t="s">
        <v>475</v>
      </c>
      <c r="E49" t="s">
        <v>389</v>
      </c>
      <c r="F49" t="s">
        <v>620</v>
      </c>
    </row>
    <row r="50" spans="1:8" x14ac:dyDescent="0.2">
      <c r="A50" t="s">
        <v>98</v>
      </c>
      <c r="B50" t="s">
        <v>99</v>
      </c>
      <c r="C50" t="s">
        <v>98</v>
      </c>
      <c r="D50" t="s">
        <v>526</v>
      </c>
      <c r="E50" t="s">
        <v>389</v>
      </c>
      <c r="F50" t="s">
        <v>620</v>
      </c>
    </row>
    <row r="51" spans="1:8" x14ac:dyDescent="0.2">
      <c r="A51" t="s">
        <v>100</v>
      </c>
      <c r="B51" t="s">
        <v>101</v>
      </c>
      <c r="C51" t="s">
        <v>100</v>
      </c>
      <c r="D51" t="s">
        <v>527</v>
      </c>
      <c r="E51" t="s">
        <v>389</v>
      </c>
      <c r="F51" t="s">
        <v>627</v>
      </c>
      <c r="G51" t="s">
        <v>528</v>
      </c>
    </row>
    <row r="52" spans="1:8" x14ac:dyDescent="0.2">
      <c r="A52" t="s">
        <v>102</v>
      </c>
      <c r="B52" t="s">
        <v>103</v>
      </c>
      <c r="C52" t="s">
        <v>102</v>
      </c>
      <c r="D52" t="s">
        <v>529</v>
      </c>
      <c r="E52" t="s">
        <v>389</v>
      </c>
      <c r="F52" t="s">
        <v>620</v>
      </c>
    </row>
    <row r="53" spans="1:8" x14ac:dyDescent="0.2">
      <c r="A53" t="s">
        <v>104</v>
      </c>
      <c r="B53" t="s">
        <v>105</v>
      </c>
      <c r="C53" t="s">
        <v>104</v>
      </c>
      <c r="D53" t="s">
        <v>530</v>
      </c>
      <c r="E53" t="s">
        <v>389</v>
      </c>
      <c r="F53" t="s">
        <v>620</v>
      </c>
    </row>
    <row r="54" spans="1:8" x14ac:dyDescent="0.2">
      <c r="A54" t="s">
        <v>106</v>
      </c>
      <c r="B54" t="s">
        <v>107</v>
      </c>
      <c r="C54" t="s">
        <v>106</v>
      </c>
      <c r="D54" t="s">
        <v>531</v>
      </c>
      <c r="E54" t="s">
        <v>389</v>
      </c>
      <c r="F54" t="s">
        <v>620</v>
      </c>
    </row>
    <row r="55" spans="1:8" x14ac:dyDescent="0.2">
      <c r="A55" t="s">
        <v>108</v>
      </c>
      <c r="B55" t="s">
        <v>109</v>
      </c>
      <c r="C55" t="s">
        <v>108</v>
      </c>
      <c r="D55" s="2" t="s">
        <v>394</v>
      </c>
      <c r="E55" t="s">
        <v>389</v>
      </c>
      <c r="F55" t="s">
        <v>620</v>
      </c>
      <c r="H55" t="s">
        <v>395</v>
      </c>
    </row>
    <row r="56" spans="1:8" x14ac:dyDescent="0.2">
      <c r="A56" t="s">
        <v>110</v>
      </c>
      <c r="B56" t="s">
        <v>111</v>
      </c>
      <c r="C56" t="s">
        <v>110</v>
      </c>
      <c r="D56" t="s">
        <v>483</v>
      </c>
      <c r="E56" t="s">
        <v>389</v>
      </c>
      <c r="F56" t="s">
        <v>620</v>
      </c>
    </row>
    <row r="57" spans="1:8" x14ac:dyDescent="0.2">
      <c r="A57" t="s">
        <v>112</v>
      </c>
      <c r="B57" t="s">
        <v>113</v>
      </c>
      <c r="C57" t="s">
        <v>112</v>
      </c>
      <c r="D57" s="2" t="s">
        <v>399</v>
      </c>
      <c r="E57" t="s">
        <v>389</v>
      </c>
      <c r="F57" t="s">
        <v>620</v>
      </c>
    </row>
    <row r="58" spans="1:8" x14ac:dyDescent="0.2">
      <c r="A58" t="s">
        <v>114</v>
      </c>
      <c r="B58" t="s">
        <v>115</v>
      </c>
      <c r="C58" t="s">
        <v>114</v>
      </c>
      <c r="D58" t="s">
        <v>532</v>
      </c>
      <c r="E58" t="s">
        <v>389</v>
      </c>
      <c r="F58" t="s">
        <v>620</v>
      </c>
      <c r="H58" t="s">
        <v>533</v>
      </c>
    </row>
    <row r="59" spans="1:8" x14ac:dyDescent="0.2">
      <c r="A59" t="s">
        <v>116</v>
      </c>
      <c r="B59" t="s">
        <v>117</v>
      </c>
      <c r="C59" t="s">
        <v>116</v>
      </c>
      <c r="D59" t="s">
        <v>534</v>
      </c>
      <c r="E59" t="s">
        <v>389</v>
      </c>
      <c r="F59" t="s">
        <v>620</v>
      </c>
    </row>
    <row r="60" spans="1:8" x14ac:dyDescent="0.2">
      <c r="A60" t="s">
        <v>118</v>
      </c>
      <c r="B60" t="s">
        <v>119</v>
      </c>
      <c r="C60" t="s">
        <v>118</v>
      </c>
      <c r="D60" t="s">
        <v>535</v>
      </c>
      <c r="E60" t="s">
        <v>389</v>
      </c>
      <c r="F60" t="s">
        <v>620</v>
      </c>
    </row>
    <row r="61" spans="1:8" x14ac:dyDescent="0.2">
      <c r="A61" t="s">
        <v>120</v>
      </c>
      <c r="B61" t="s">
        <v>121</v>
      </c>
      <c r="C61" t="s">
        <v>120</v>
      </c>
      <c r="D61" t="s">
        <v>536</v>
      </c>
      <c r="E61" t="s">
        <v>389</v>
      </c>
      <c r="F61" t="s">
        <v>621</v>
      </c>
      <c r="G61" t="s">
        <v>441</v>
      </c>
    </row>
    <row r="62" spans="1:8" x14ac:dyDescent="0.2">
      <c r="A62" t="s">
        <v>122</v>
      </c>
      <c r="B62" t="s">
        <v>123</v>
      </c>
      <c r="C62" t="s">
        <v>122</v>
      </c>
      <c r="D62" s="2" t="s">
        <v>404</v>
      </c>
      <c r="E62" t="s">
        <v>389</v>
      </c>
      <c r="F62" t="s">
        <v>624</v>
      </c>
      <c r="G62" t="s">
        <v>401</v>
      </c>
    </row>
    <row r="63" spans="1:8" x14ac:dyDescent="0.2">
      <c r="A63" t="s">
        <v>124</v>
      </c>
      <c r="B63" t="s">
        <v>125</v>
      </c>
      <c r="C63" t="s">
        <v>124</v>
      </c>
      <c r="D63" t="s">
        <v>537</v>
      </c>
      <c r="E63" t="s">
        <v>389</v>
      </c>
      <c r="F63" t="s">
        <v>620</v>
      </c>
    </row>
    <row r="64" spans="1:8" x14ac:dyDescent="0.2">
      <c r="A64" t="s">
        <v>126</v>
      </c>
      <c r="B64" t="s">
        <v>127</v>
      </c>
      <c r="C64" t="s">
        <v>126</v>
      </c>
      <c r="D64" t="s">
        <v>538</v>
      </c>
      <c r="E64" t="s">
        <v>389</v>
      </c>
      <c r="F64" t="s">
        <v>620</v>
      </c>
    </row>
    <row r="65" spans="1:8" x14ac:dyDescent="0.2">
      <c r="A65" t="s">
        <v>128</v>
      </c>
      <c r="B65" t="s">
        <v>129</v>
      </c>
      <c r="C65" t="s">
        <v>128</v>
      </c>
      <c r="D65" s="2" t="s">
        <v>415</v>
      </c>
      <c r="E65" t="s">
        <v>389</v>
      </c>
      <c r="F65" t="s">
        <v>622</v>
      </c>
      <c r="G65" t="s">
        <v>416</v>
      </c>
    </row>
    <row r="66" spans="1:8" x14ac:dyDescent="0.2">
      <c r="A66" t="s">
        <v>130</v>
      </c>
      <c r="B66" t="s">
        <v>131</v>
      </c>
      <c r="C66" t="s">
        <v>130</v>
      </c>
      <c r="D66" t="s">
        <v>539</v>
      </c>
      <c r="E66" t="s">
        <v>389</v>
      </c>
      <c r="F66" t="s">
        <v>620</v>
      </c>
    </row>
    <row r="67" spans="1:8" x14ac:dyDescent="0.2">
      <c r="A67" t="s">
        <v>132</v>
      </c>
      <c r="B67" t="s">
        <v>133</v>
      </c>
      <c r="C67" t="s">
        <v>132</v>
      </c>
      <c r="D67" s="2" t="s">
        <v>440</v>
      </c>
      <c r="E67" t="s">
        <v>389</v>
      </c>
      <c r="F67" t="s">
        <v>621</v>
      </c>
      <c r="G67" t="s">
        <v>441</v>
      </c>
    </row>
    <row r="68" spans="1:8" x14ac:dyDescent="0.2">
      <c r="A68" t="s">
        <v>134</v>
      </c>
      <c r="B68" t="s">
        <v>135</v>
      </c>
      <c r="C68" t="s">
        <v>134</v>
      </c>
      <c r="D68" t="s">
        <v>540</v>
      </c>
      <c r="E68" t="s">
        <v>389</v>
      </c>
      <c r="F68" t="s">
        <v>620</v>
      </c>
    </row>
    <row r="69" spans="1:8" x14ac:dyDescent="0.2">
      <c r="A69" t="s">
        <v>136</v>
      </c>
      <c r="B69" t="s">
        <v>137</v>
      </c>
      <c r="C69" t="s">
        <v>136</v>
      </c>
      <c r="D69" t="s">
        <v>541</v>
      </c>
      <c r="E69" t="s">
        <v>389</v>
      </c>
      <c r="F69" t="s">
        <v>628</v>
      </c>
      <c r="G69" t="s">
        <v>542</v>
      </c>
    </row>
    <row r="70" spans="1:8" x14ac:dyDescent="0.2">
      <c r="A70" t="s">
        <v>138</v>
      </c>
      <c r="B70" t="s">
        <v>139</v>
      </c>
      <c r="C70" t="s">
        <v>138</v>
      </c>
      <c r="D70" t="s">
        <v>544</v>
      </c>
      <c r="E70" t="s">
        <v>389</v>
      </c>
      <c r="F70" t="s">
        <v>620</v>
      </c>
      <c r="H70" t="s">
        <v>543</v>
      </c>
    </row>
    <row r="71" spans="1:8" x14ac:dyDescent="0.2">
      <c r="A71" t="s">
        <v>140</v>
      </c>
      <c r="B71" t="s">
        <v>141</v>
      </c>
      <c r="C71" t="s">
        <v>140</v>
      </c>
      <c r="D71" s="2" t="s">
        <v>413</v>
      </c>
      <c r="E71" t="s">
        <v>389</v>
      </c>
      <c r="F71" t="s">
        <v>624</v>
      </c>
      <c r="G71" t="s">
        <v>401</v>
      </c>
    </row>
    <row r="72" spans="1:8" x14ac:dyDescent="0.2">
      <c r="A72" t="s">
        <v>142</v>
      </c>
      <c r="B72" t="s">
        <v>143</v>
      </c>
      <c r="C72" t="s">
        <v>142</v>
      </c>
      <c r="D72" t="s">
        <v>468</v>
      </c>
      <c r="E72" t="s">
        <v>389</v>
      </c>
      <c r="F72" t="s">
        <v>620</v>
      </c>
    </row>
    <row r="73" spans="1:8" x14ac:dyDescent="0.2">
      <c r="A73" t="s">
        <v>144</v>
      </c>
      <c r="B73" t="s">
        <v>145</v>
      </c>
      <c r="C73" t="s">
        <v>144</v>
      </c>
      <c r="D73" t="s">
        <v>545</v>
      </c>
      <c r="E73" t="s">
        <v>389</v>
      </c>
      <c r="F73" t="s">
        <v>620</v>
      </c>
      <c r="H73" t="s">
        <v>546</v>
      </c>
    </row>
    <row r="74" spans="1:8" x14ac:dyDescent="0.2">
      <c r="A74" t="s">
        <v>146</v>
      </c>
      <c r="B74" t="s">
        <v>147</v>
      </c>
      <c r="C74" t="s">
        <v>146</v>
      </c>
      <c r="D74" t="s">
        <v>547</v>
      </c>
      <c r="E74" t="s">
        <v>389</v>
      </c>
      <c r="F74" t="s">
        <v>629</v>
      </c>
      <c r="G74" t="s">
        <v>548</v>
      </c>
    </row>
    <row r="75" spans="1:8" x14ac:dyDescent="0.2">
      <c r="A75" t="s">
        <v>148</v>
      </c>
      <c r="B75" t="s">
        <v>149</v>
      </c>
      <c r="C75" t="s">
        <v>148</v>
      </c>
      <c r="D75" t="s">
        <v>485</v>
      </c>
      <c r="E75" t="s">
        <v>389</v>
      </c>
      <c r="F75" t="s">
        <v>620</v>
      </c>
    </row>
    <row r="76" spans="1:8" x14ac:dyDescent="0.2">
      <c r="A76" t="s">
        <v>150</v>
      </c>
      <c r="B76" t="s">
        <v>151</v>
      </c>
      <c r="C76" t="s">
        <v>150</v>
      </c>
      <c r="D76" t="s">
        <v>549</v>
      </c>
      <c r="E76" t="s">
        <v>389</v>
      </c>
      <c r="F76" t="s">
        <v>620</v>
      </c>
    </row>
    <row r="77" spans="1:8" x14ac:dyDescent="0.2">
      <c r="A77" t="s">
        <v>152</v>
      </c>
      <c r="B77" t="s">
        <v>153</v>
      </c>
      <c r="C77" t="s">
        <v>152</v>
      </c>
      <c r="D77" t="s">
        <v>550</v>
      </c>
      <c r="E77" t="s">
        <v>389</v>
      </c>
      <c r="F77" t="s">
        <v>631</v>
      </c>
      <c r="G77" t="s">
        <v>630</v>
      </c>
    </row>
    <row r="78" spans="1:8" x14ac:dyDescent="0.2">
      <c r="A78" t="s">
        <v>154</v>
      </c>
      <c r="B78" t="s">
        <v>155</v>
      </c>
      <c r="C78" t="s">
        <v>154</v>
      </c>
      <c r="D78" s="2" t="s">
        <v>392</v>
      </c>
      <c r="E78" t="s">
        <v>389</v>
      </c>
      <c r="F78" t="s">
        <v>620</v>
      </c>
    </row>
    <row r="79" spans="1:8" x14ac:dyDescent="0.2">
      <c r="A79" t="s">
        <v>156</v>
      </c>
      <c r="B79" t="s">
        <v>157</v>
      </c>
      <c r="C79" t="s">
        <v>156</v>
      </c>
      <c r="D79" t="s">
        <v>551</v>
      </c>
      <c r="E79" t="s">
        <v>389</v>
      </c>
      <c r="F79" t="s">
        <v>620</v>
      </c>
      <c r="H79" t="s">
        <v>546</v>
      </c>
    </row>
    <row r="80" spans="1:8" x14ac:dyDescent="0.2">
      <c r="A80" t="s">
        <v>158</v>
      </c>
      <c r="B80" t="s">
        <v>159</v>
      </c>
      <c r="C80" t="s">
        <v>158</v>
      </c>
      <c r="D80" t="s">
        <v>487</v>
      </c>
      <c r="E80" t="s">
        <v>389</v>
      </c>
      <c r="F80" t="s">
        <v>620</v>
      </c>
    </row>
    <row r="81" spans="1:9" x14ac:dyDescent="0.2">
      <c r="A81" t="s">
        <v>160</v>
      </c>
      <c r="B81" t="s">
        <v>161</v>
      </c>
      <c r="C81" t="s">
        <v>160</v>
      </c>
      <c r="D81" t="s">
        <v>552</v>
      </c>
      <c r="E81" t="s">
        <v>389</v>
      </c>
      <c r="F81" t="s">
        <v>620</v>
      </c>
      <c r="H81" t="s">
        <v>553</v>
      </c>
    </row>
    <row r="82" spans="1:9" x14ac:dyDescent="0.2">
      <c r="A82" t="s">
        <v>162</v>
      </c>
      <c r="B82" t="s">
        <v>163</v>
      </c>
      <c r="C82" t="s">
        <v>162</v>
      </c>
      <c r="D82" s="2" t="s">
        <v>424</v>
      </c>
      <c r="E82" t="s">
        <v>389</v>
      </c>
      <c r="F82" t="s">
        <v>624</v>
      </c>
      <c r="G82" t="s">
        <v>401</v>
      </c>
    </row>
    <row r="83" spans="1:9" x14ac:dyDescent="0.2">
      <c r="A83" t="s">
        <v>164</v>
      </c>
      <c r="B83" t="s">
        <v>165</v>
      </c>
      <c r="C83" t="s">
        <v>164</v>
      </c>
      <c r="D83" t="s">
        <v>554</v>
      </c>
      <c r="E83" t="s">
        <v>389</v>
      </c>
      <c r="F83" t="s">
        <v>620</v>
      </c>
      <c r="H83" t="s">
        <v>546</v>
      </c>
    </row>
    <row r="84" spans="1:9" x14ac:dyDescent="0.2">
      <c r="A84" t="s">
        <v>166</v>
      </c>
      <c r="B84" t="s">
        <v>167</v>
      </c>
      <c r="C84" t="s">
        <v>166</v>
      </c>
      <c r="D84" t="s">
        <v>555</v>
      </c>
      <c r="E84" t="s">
        <v>389</v>
      </c>
      <c r="F84" t="s">
        <v>632</v>
      </c>
      <c r="G84" t="s">
        <v>556</v>
      </c>
      <c r="H84" t="s">
        <v>553</v>
      </c>
    </row>
    <row r="85" spans="1:9" x14ac:dyDescent="0.2">
      <c r="A85" t="s">
        <v>168</v>
      </c>
      <c r="B85" t="s">
        <v>169</v>
      </c>
      <c r="C85" t="s">
        <v>168</v>
      </c>
      <c r="D85" t="s">
        <v>557</v>
      </c>
      <c r="E85" t="s">
        <v>389</v>
      </c>
      <c r="F85" t="s">
        <v>620</v>
      </c>
    </row>
    <row r="86" spans="1:9" x14ac:dyDescent="0.2">
      <c r="A86" t="s">
        <v>170</v>
      </c>
      <c r="B86" t="s">
        <v>171</v>
      </c>
      <c r="C86" t="s">
        <v>170</v>
      </c>
      <c r="D86" t="s">
        <v>558</v>
      </c>
      <c r="E86" t="s">
        <v>389</v>
      </c>
      <c r="F86" t="s">
        <v>620</v>
      </c>
      <c r="H86" t="s">
        <v>553</v>
      </c>
    </row>
    <row r="87" spans="1:9" x14ac:dyDescent="0.2">
      <c r="A87" t="s">
        <v>172</v>
      </c>
      <c r="B87" t="s">
        <v>173</v>
      </c>
      <c r="C87" t="s">
        <v>172</v>
      </c>
      <c r="D87" t="s">
        <v>477</v>
      </c>
      <c r="E87" t="s">
        <v>389</v>
      </c>
      <c r="F87" t="s">
        <v>620</v>
      </c>
    </row>
    <row r="88" spans="1:9" x14ac:dyDescent="0.2">
      <c r="A88" t="s">
        <v>174</v>
      </c>
      <c r="B88" t="s">
        <v>175</v>
      </c>
      <c r="C88" t="s">
        <v>174</v>
      </c>
      <c r="D88" s="2" t="s">
        <v>419</v>
      </c>
      <c r="E88" t="s">
        <v>389</v>
      </c>
      <c r="F88" t="s">
        <v>624</v>
      </c>
      <c r="G88" t="s">
        <v>401</v>
      </c>
    </row>
    <row r="89" spans="1:9" x14ac:dyDescent="0.2">
      <c r="A89" t="s">
        <v>176</v>
      </c>
      <c r="B89" t="s">
        <v>177</v>
      </c>
      <c r="C89" t="s">
        <v>176</v>
      </c>
      <c r="D89" s="2" t="s">
        <v>402</v>
      </c>
      <c r="E89" t="s">
        <v>389</v>
      </c>
      <c r="F89" t="s">
        <v>624</v>
      </c>
      <c r="G89" t="s">
        <v>401</v>
      </c>
    </row>
    <row r="90" spans="1:9" x14ac:dyDescent="0.2">
      <c r="A90" t="s">
        <v>178</v>
      </c>
      <c r="B90" t="s">
        <v>179</v>
      </c>
      <c r="C90" t="s">
        <v>178</v>
      </c>
      <c r="D90" t="s">
        <v>559</v>
      </c>
      <c r="E90" t="s">
        <v>389</v>
      </c>
      <c r="F90" t="s">
        <v>633</v>
      </c>
      <c r="G90" t="s">
        <v>560</v>
      </c>
    </row>
    <row r="91" spans="1:9" x14ac:dyDescent="0.2">
      <c r="A91" t="s">
        <v>180</v>
      </c>
      <c r="B91" t="s">
        <v>181</v>
      </c>
      <c r="C91" t="s">
        <v>180</v>
      </c>
      <c r="D91" t="s">
        <v>561</v>
      </c>
      <c r="E91" t="s">
        <v>389</v>
      </c>
      <c r="F91" t="s">
        <v>634</v>
      </c>
      <c r="G91" t="s">
        <v>562</v>
      </c>
      <c r="I91" t="s">
        <v>563</v>
      </c>
    </row>
    <row r="92" spans="1:9" x14ac:dyDescent="0.2">
      <c r="A92" t="s">
        <v>182</v>
      </c>
      <c r="B92" t="s">
        <v>183</v>
      </c>
      <c r="C92" t="s">
        <v>182</v>
      </c>
      <c r="D92" s="2" t="s">
        <v>437</v>
      </c>
      <c r="E92" t="s">
        <v>389</v>
      </c>
      <c r="F92" t="s">
        <v>620</v>
      </c>
    </row>
    <row r="93" spans="1:9" x14ac:dyDescent="0.2">
      <c r="A93" t="s">
        <v>184</v>
      </c>
      <c r="B93" t="s">
        <v>185</v>
      </c>
      <c r="C93" t="s">
        <v>184</v>
      </c>
      <c r="D93" t="s">
        <v>455</v>
      </c>
      <c r="E93" t="s">
        <v>389</v>
      </c>
      <c r="F93" t="s">
        <v>625</v>
      </c>
      <c r="G93" t="s">
        <v>456</v>
      </c>
    </row>
    <row r="94" spans="1:9" x14ac:dyDescent="0.2">
      <c r="A94" t="s">
        <v>186</v>
      </c>
      <c r="B94" t="s">
        <v>187</v>
      </c>
      <c r="C94" t="s">
        <v>186</v>
      </c>
      <c r="D94" t="s">
        <v>564</v>
      </c>
      <c r="E94" t="s">
        <v>389</v>
      </c>
      <c r="F94" t="s">
        <v>620</v>
      </c>
    </row>
    <row r="95" spans="1:9" x14ac:dyDescent="0.2">
      <c r="A95" t="s">
        <v>188</v>
      </c>
      <c r="B95" t="s">
        <v>189</v>
      </c>
      <c r="C95" t="s">
        <v>188</v>
      </c>
      <c r="D95" t="s">
        <v>565</v>
      </c>
      <c r="E95" t="s">
        <v>389</v>
      </c>
      <c r="F95" t="s">
        <v>620</v>
      </c>
    </row>
    <row r="96" spans="1:9" x14ac:dyDescent="0.2">
      <c r="A96" t="s">
        <v>190</v>
      </c>
      <c r="B96" t="s">
        <v>191</v>
      </c>
      <c r="C96" t="s">
        <v>190</v>
      </c>
      <c r="D96" s="2" t="s">
        <v>412</v>
      </c>
      <c r="E96" t="s">
        <v>389</v>
      </c>
      <c r="F96" t="s">
        <v>624</v>
      </c>
      <c r="G96" t="s">
        <v>401</v>
      </c>
    </row>
    <row r="97" spans="1:9" x14ac:dyDescent="0.2">
      <c r="A97" t="s">
        <v>192</v>
      </c>
      <c r="B97" t="s">
        <v>193</v>
      </c>
      <c r="C97" t="s">
        <v>192</v>
      </c>
      <c r="D97" t="s">
        <v>566</v>
      </c>
      <c r="E97" t="s">
        <v>389</v>
      </c>
      <c r="F97" t="s">
        <v>620</v>
      </c>
      <c r="I97" t="s">
        <v>616</v>
      </c>
    </row>
    <row r="98" spans="1:9" x14ac:dyDescent="0.2">
      <c r="A98" t="s">
        <v>194</v>
      </c>
      <c r="B98" t="s">
        <v>195</v>
      </c>
      <c r="C98" t="s">
        <v>194</v>
      </c>
      <c r="D98" t="s">
        <v>567</v>
      </c>
      <c r="E98" t="s">
        <v>389</v>
      </c>
      <c r="F98" t="s">
        <v>635</v>
      </c>
      <c r="G98" t="s">
        <v>568</v>
      </c>
      <c r="I98" t="s">
        <v>616</v>
      </c>
    </row>
    <row r="99" spans="1:9" x14ac:dyDescent="0.2">
      <c r="A99" t="s">
        <v>196</v>
      </c>
      <c r="B99" t="s">
        <v>197</v>
      </c>
      <c r="C99" t="s">
        <v>196</v>
      </c>
      <c r="D99" t="s">
        <v>486</v>
      </c>
      <c r="E99" t="s">
        <v>389</v>
      </c>
      <c r="F99" t="s">
        <v>620</v>
      </c>
    </row>
    <row r="100" spans="1:9" x14ac:dyDescent="0.2">
      <c r="A100" t="s">
        <v>198</v>
      </c>
      <c r="B100" t="s">
        <v>199</v>
      </c>
      <c r="C100" t="s">
        <v>198</v>
      </c>
      <c r="D100" t="s">
        <v>569</v>
      </c>
      <c r="E100" t="s">
        <v>389</v>
      </c>
      <c r="F100" t="s">
        <v>620</v>
      </c>
      <c r="I100" t="s">
        <v>616</v>
      </c>
    </row>
    <row r="101" spans="1:9" x14ac:dyDescent="0.2">
      <c r="A101" t="s">
        <v>200</v>
      </c>
      <c r="B101" t="s">
        <v>201</v>
      </c>
      <c r="C101" t="s">
        <v>200</v>
      </c>
      <c r="D101" s="2" t="s">
        <v>430</v>
      </c>
      <c r="E101" t="s">
        <v>389</v>
      </c>
      <c r="F101" t="s">
        <v>624</v>
      </c>
      <c r="G101" t="s">
        <v>401</v>
      </c>
    </row>
    <row r="102" spans="1:9" x14ac:dyDescent="0.2">
      <c r="A102" t="s">
        <v>202</v>
      </c>
      <c r="B102" t="s">
        <v>203</v>
      </c>
      <c r="C102" t="s">
        <v>202</v>
      </c>
      <c r="D102" s="2" t="s">
        <v>444</v>
      </c>
      <c r="E102" t="s">
        <v>389</v>
      </c>
      <c r="F102" t="s">
        <v>620</v>
      </c>
    </row>
    <row r="103" spans="1:9" x14ac:dyDescent="0.2">
      <c r="A103" t="s">
        <v>204</v>
      </c>
      <c r="B103" t="s">
        <v>205</v>
      </c>
      <c r="C103" t="s">
        <v>204</v>
      </c>
      <c r="D103" t="s">
        <v>457</v>
      </c>
      <c r="E103" t="s">
        <v>389</v>
      </c>
      <c r="F103" t="s">
        <v>620</v>
      </c>
    </row>
    <row r="104" spans="1:9" x14ac:dyDescent="0.2">
      <c r="A104" t="s">
        <v>206</v>
      </c>
      <c r="B104" t="s">
        <v>207</v>
      </c>
      <c r="C104" t="s">
        <v>206</v>
      </c>
      <c r="D104" t="s">
        <v>570</v>
      </c>
      <c r="E104" t="s">
        <v>389</v>
      </c>
      <c r="F104" t="s">
        <v>620</v>
      </c>
      <c r="I104" t="s">
        <v>616</v>
      </c>
    </row>
    <row r="105" spans="1:9" x14ac:dyDescent="0.2">
      <c r="A105" t="s">
        <v>208</v>
      </c>
      <c r="B105" t="s">
        <v>209</v>
      </c>
      <c r="C105" t="s">
        <v>208</v>
      </c>
      <c r="D105" t="s">
        <v>469</v>
      </c>
      <c r="E105" t="s">
        <v>389</v>
      </c>
      <c r="F105" t="s">
        <v>620</v>
      </c>
    </row>
    <row r="106" spans="1:9" x14ac:dyDescent="0.2">
      <c r="A106" t="s">
        <v>210</v>
      </c>
      <c r="B106" t="s">
        <v>211</v>
      </c>
      <c r="C106" t="s">
        <v>210</v>
      </c>
      <c r="D106" t="s">
        <v>571</v>
      </c>
      <c r="E106" t="s">
        <v>389</v>
      </c>
      <c r="F106" t="s">
        <v>636</v>
      </c>
      <c r="G106" t="s">
        <v>572</v>
      </c>
      <c r="I106" t="s">
        <v>616</v>
      </c>
    </row>
    <row r="107" spans="1:9" x14ac:dyDescent="0.2">
      <c r="A107" t="s">
        <v>212</v>
      </c>
      <c r="B107" t="s">
        <v>213</v>
      </c>
      <c r="C107" t="s">
        <v>212</v>
      </c>
      <c r="D107" s="2" t="s">
        <v>428</v>
      </c>
      <c r="E107" t="s">
        <v>389</v>
      </c>
      <c r="F107" t="s">
        <v>620</v>
      </c>
      <c r="G107" t="s">
        <v>429</v>
      </c>
    </row>
    <row r="108" spans="1:9" x14ac:dyDescent="0.2">
      <c r="A108" t="s">
        <v>214</v>
      </c>
      <c r="B108" t="s">
        <v>215</v>
      </c>
      <c r="C108" t="s">
        <v>214</v>
      </c>
      <c r="D108" t="s">
        <v>573</v>
      </c>
      <c r="E108" t="s">
        <v>389</v>
      </c>
      <c r="F108" t="s">
        <v>622</v>
      </c>
      <c r="G108" t="s">
        <v>416</v>
      </c>
      <c r="I108" t="s">
        <v>616</v>
      </c>
    </row>
    <row r="109" spans="1:9" x14ac:dyDescent="0.2">
      <c r="A109" t="s">
        <v>216</v>
      </c>
      <c r="B109" t="s">
        <v>217</v>
      </c>
      <c r="C109" t="s">
        <v>216</v>
      </c>
      <c r="D109" t="s">
        <v>449</v>
      </c>
      <c r="E109" t="s">
        <v>389</v>
      </c>
      <c r="F109" t="s">
        <v>625</v>
      </c>
      <c r="G109" t="s">
        <v>439</v>
      </c>
    </row>
    <row r="110" spans="1:9" x14ac:dyDescent="0.2">
      <c r="A110" t="s">
        <v>218</v>
      </c>
      <c r="B110" t="s">
        <v>219</v>
      </c>
      <c r="C110" t="s">
        <v>218</v>
      </c>
      <c r="D110" t="s">
        <v>574</v>
      </c>
      <c r="E110" t="s">
        <v>389</v>
      </c>
      <c r="F110" t="s">
        <v>637</v>
      </c>
      <c r="G110" t="s">
        <v>575</v>
      </c>
      <c r="I110" t="s">
        <v>616</v>
      </c>
    </row>
    <row r="111" spans="1:9" x14ac:dyDescent="0.2">
      <c r="A111" t="s">
        <v>220</v>
      </c>
      <c r="B111" t="s">
        <v>221</v>
      </c>
      <c r="C111" t="s">
        <v>220</v>
      </c>
      <c r="D111" s="2" t="s">
        <v>408</v>
      </c>
      <c r="E111" t="s">
        <v>389</v>
      </c>
      <c r="F111" t="s">
        <v>620</v>
      </c>
    </row>
    <row r="112" spans="1:9" x14ac:dyDescent="0.2">
      <c r="A112" t="s">
        <v>222</v>
      </c>
      <c r="B112" t="s">
        <v>223</v>
      </c>
      <c r="C112" t="s">
        <v>222</v>
      </c>
      <c r="D112" t="s">
        <v>574</v>
      </c>
      <c r="E112" t="s">
        <v>389</v>
      </c>
      <c r="F112" t="s">
        <v>620</v>
      </c>
      <c r="I112" t="s">
        <v>616</v>
      </c>
    </row>
    <row r="113" spans="1:9" x14ac:dyDescent="0.2">
      <c r="A113" t="s">
        <v>224</v>
      </c>
      <c r="B113" t="s">
        <v>225</v>
      </c>
      <c r="C113" t="s">
        <v>224</v>
      </c>
      <c r="D113" s="2" t="s">
        <v>445</v>
      </c>
      <c r="E113" t="s">
        <v>389</v>
      </c>
      <c r="F113" t="s">
        <v>620</v>
      </c>
    </row>
    <row r="114" spans="1:9" x14ac:dyDescent="0.2">
      <c r="A114" t="s">
        <v>226</v>
      </c>
      <c r="B114" t="s">
        <v>227</v>
      </c>
      <c r="C114" t="s">
        <v>226</v>
      </c>
      <c r="D114" s="2" t="s">
        <v>405</v>
      </c>
      <c r="E114" t="s">
        <v>389</v>
      </c>
      <c r="F114" t="s">
        <v>620</v>
      </c>
    </row>
    <row r="115" spans="1:9" x14ac:dyDescent="0.2">
      <c r="A115" t="s">
        <v>228</v>
      </c>
      <c r="B115" t="s">
        <v>229</v>
      </c>
      <c r="C115" t="s">
        <v>228</v>
      </c>
      <c r="D115" s="2" t="s">
        <v>418</v>
      </c>
      <c r="E115" t="s">
        <v>389</v>
      </c>
      <c r="F115" t="s">
        <v>624</v>
      </c>
      <c r="G115" t="s">
        <v>401</v>
      </c>
    </row>
    <row r="116" spans="1:9" x14ac:dyDescent="0.2">
      <c r="A116" t="s">
        <v>230</v>
      </c>
      <c r="B116" t="s">
        <v>231</v>
      </c>
      <c r="C116" t="s">
        <v>230</v>
      </c>
      <c r="D116" t="s">
        <v>576</v>
      </c>
      <c r="E116" t="s">
        <v>389</v>
      </c>
      <c r="F116" t="s">
        <v>620</v>
      </c>
      <c r="I116" t="s">
        <v>616</v>
      </c>
    </row>
    <row r="117" spans="1:9" x14ac:dyDescent="0.2">
      <c r="A117" t="s">
        <v>232</v>
      </c>
      <c r="B117" t="s">
        <v>233</v>
      </c>
      <c r="C117" t="s">
        <v>232</v>
      </c>
      <c r="D117" t="s">
        <v>450</v>
      </c>
      <c r="E117" t="s">
        <v>389</v>
      </c>
      <c r="F117" t="s">
        <v>620</v>
      </c>
    </row>
    <row r="118" spans="1:9" x14ac:dyDescent="0.2">
      <c r="A118" t="s">
        <v>234</v>
      </c>
      <c r="B118" t="s">
        <v>235</v>
      </c>
      <c r="C118" t="s">
        <v>234</v>
      </c>
      <c r="D118" t="s">
        <v>490</v>
      </c>
      <c r="E118" t="s">
        <v>389</v>
      </c>
      <c r="F118" t="s">
        <v>620</v>
      </c>
    </row>
    <row r="119" spans="1:9" x14ac:dyDescent="0.2">
      <c r="A119" t="s">
        <v>236</v>
      </c>
      <c r="B119" t="s">
        <v>237</v>
      </c>
      <c r="C119" t="s">
        <v>236</v>
      </c>
      <c r="D119" t="s">
        <v>464</v>
      </c>
      <c r="E119" t="s">
        <v>389</v>
      </c>
      <c r="F119" t="s">
        <v>620</v>
      </c>
    </row>
    <row r="120" spans="1:9" x14ac:dyDescent="0.2">
      <c r="A120" t="s">
        <v>238</v>
      </c>
      <c r="B120" t="s">
        <v>239</v>
      </c>
      <c r="C120" t="s">
        <v>238</v>
      </c>
      <c r="D120" s="2" t="s">
        <v>410</v>
      </c>
      <c r="E120" t="s">
        <v>389</v>
      </c>
      <c r="F120" t="s">
        <v>624</v>
      </c>
      <c r="G120" t="s">
        <v>401</v>
      </c>
    </row>
    <row r="121" spans="1:9" x14ac:dyDescent="0.2">
      <c r="A121" t="s">
        <v>240</v>
      </c>
      <c r="B121" t="s">
        <v>241</v>
      </c>
      <c r="C121" t="s">
        <v>240</v>
      </c>
      <c r="D121" s="2" t="s">
        <v>459</v>
      </c>
      <c r="E121" t="s">
        <v>389</v>
      </c>
      <c r="F121" t="s">
        <v>620</v>
      </c>
    </row>
    <row r="122" spans="1:9" x14ac:dyDescent="0.2">
      <c r="A122" t="s">
        <v>242</v>
      </c>
      <c r="B122" t="s">
        <v>243</v>
      </c>
      <c r="C122" t="s">
        <v>242</v>
      </c>
      <c r="D122" t="s">
        <v>577</v>
      </c>
      <c r="E122" t="s">
        <v>389</v>
      </c>
      <c r="F122" t="s">
        <v>620</v>
      </c>
      <c r="H122" t="s">
        <v>553</v>
      </c>
      <c r="I122" t="s">
        <v>616</v>
      </c>
    </row>
    <row r="123" spans="1:9" x14ac:dyDescent="0.2">
      <c r="A123" t="s">
        <v>244</v>
      </c>
      <c r="B123" t="s">
        <v>245</v>
      </c>
      <c r="C123" t="s">
        <v>244</v>
      </c>
      <c r="D123" s="2" t="s">
        <v>422</v>
      </c>
      <c r="E123" t="s">
        <v>389</v>
      </c>
      <c r="F123" t="s">
        <v>620</v>
      </c>
    </row>
    <row r="124" spans="1:9" x14ac:dyDescent="0.2">
      <c r="A124" t="s">
        <v>246</v>
      </c>
      <c r="B124" t="s">
        <v>247</v>
      </c>
      <c r="C124" t="s">
        <v>246</v>
      </c>
      <c r="D124" s="2" t="s">
        <v>438</v>
      </c>
      <c r="E124" t="s">
        <v>389</v>
      </c>
      <c r="F124" t="s">
        <v>625</v>
      </c>
      <c r="G124" t="s">
        <v>439</v>
      </c>
    </row>
    <row r="125" spans="1:9" x14ac:dyDescent="0.2">
      <c r="A125" t="s">
        <v>248</v>
      </c>
      <c r="B125" t="s">
        <v>249</v>
      </c>
      <c r="C125" t="s">
        <v>248</v>
      </c>
      <c r="D125" s="2" t="s">
        <v>436</v>
      </c>
      <c r="E125" t="s">
        <v>389</v>
      </c>
      <c r="F125" t="s">
        <v>620</v>
      </c>
    </row>
    <row r="126" spans="1:9" x14ac:dyDescent="0.2">
      <c r="A126" t="s">
        <v>250</v>
      </c>
      <c r="B126" t="s">
        <v>251</v>
      </c>
      <c r="C126" t="s">
        <v>250</v>
      </c>
      <c r="D126" t="s">
        <v>442</v>
      </c>
      <c r="E126" t="s">
        <v>389</v>
      </c>
      <c r="F126" t="s">
        <v>625</v>
      </c>
      <c r="G126" t="s">
        <v>439</v>
      </c>
    </row>
    <row r="127" spans="1:9" x14ac:dyDescent="0.2">
      <c r="A127" t="s">
        <v>252</v>
      </c>
      <c r="B127" t="s">
        <v>253</v>
      </c>
      <c r="C127" t="s">
        <v>252</v>
      </c>
      <c r="D127" t="s">
        <v>578</v>
      </c>
      <c r="E127" t="s">
        <v>389</v>
      </c>
      <c r="F127" t="s">
        <v>621</v>
      </c>
      <c r="G127" t="s">
        <v>441</v>
      </c>
      <c r="I127" t="s">
        <v>616</v>
      </c>
    </row>
    <row r="128" spans="1:9" x14ac:dyDescent="0.2">
      <c r="A128" t="s">
        <v>254</v>
      </c>
      <c r="B128" t="s">
        <v>255</v>
      </c>
      <c r="C128" t="s">
        <v>254</v>
      </c>
      <c r="D128" s="2" t="s">
        <v>426</v>
      </c>
      <c r="E128" t="s">
        <v>389</v>
      </c>
      <c r="F128" t="s">
        <v>620</v>
      </c>
    </row>
    <row r="129" spans="1:9" x14ac:dyDescent="0.2">
      <c r="A129" t="s">
        <v>256</v>
      </c>
      <c r="B129" t="s">
        <v>257</v>
      </c>
      <c r="C129" t="s">
        <v>256</v>
      </c>
      <c r="D129" t="s">
        <v>579</v>
      </c>
      <c r="E129" t="s">
        <v>389</v>
      </c>
      <c r="F129" t="s">
        <v>620</v>
      </c>
      <c r="I129" t="s">
        <v>616</v>
      </c>
    </row>
    <row r="130" spans="1:9" x14ac:dyDescent="0.2">
      <c r="A130" t="s">
        <v>258</v>
      </c>
      <c r="B130" t="s">
        <v>259</v>
      </c>
      <c r="C130" t="s">
        <v>258</v>
      </c>
      <c r="D130" s="2" t="s">
        <v>407</v>
      </c>
      <c r="E130" t="s">
        <v>389</v>
      </c>
      <c r="F130" t="s">
        <v>624</v>
      </c>
      <c r="G130" t="s">
        <v>401</v>
      </c>
    </row>
    <row r="131" spans="1:9" x14ac:dyDescent="0.2">
      <c r="A131" t="s">
        <v>260</v>
      </c>
      <c r="B131" t="s">
        <v>261</v>
      </c>
      <c r="C131" t="s">
        <v>260</v>
      </c>
      <c r="D131" s="2" t="s">
        <v>421</v>
      </c>
      <c r="E131" t="s">
        <v>389</v>
      </c>
      <c r="F131" t="s">
        <v>624</v>
      </c>
      <c r="G131" t="s">
        <v>401</v>
      </c>
    </row>
    <row r="132" spans="1:9" x14ac:dyDescent="0.2">
      <c r="A132" t="s">
        <v>262</v>
      </c>
      <c r="B132" t="s">
        <v>263</v>
      </c>
      <c r="C132" t="s">
        <v>262</v>
      </c>
      <c r="D132" t="s">
        <v>472</v>
      </c>
      <c r="E132" t="s">
        <v>389</v>
      </c>
      <c r="F132" t="s">
        <v>620</v>
      </c>
    </row>
    <row r="133" spans="1:9" x14ac:dyDescent="0.2">
      <c r="A133" t="s">
        <v>264</v>
      </c>
      <c r="B133" t="s">
        <v>265</v>
      </c>
      <c r="C133" t="s">
        <v>264</v>
      </c>
      <c r="D133" t="s">
        <v>580</v>
      </c>
      <c r="E133" t="s">
        <v>389</v>
      </c>
      <c r="F133" t="s">
        <v>622</v>
      </c>
      <c r="G133" t="s">
        <v>416</v>
      </c>
      <c r="I133" t="s">
        <v>616</v>
      </c>
    </row>
    <row r="134" spans="1:9" x14ac:dyDescent="0.2">
      <c r="A134" t="s">
        <v>266</v>
      </c>
      <c r="B134" t="s">
        <v>267</v>
      </c>
      <c r="C134" t="s">
        <v>266</v>
      </c>
      <c r="D134" t="s">
        <v>581</v>
      </c>
      <c r="E134" t="s">
        <v>389</v>
      </c>
      <c r="F134" t="s">
        <v>621</v>
      </c>
      <c r="G134" t="s">
        <v>441</v>
      </c>
      <c r="I134" t="s">
        <v>616</v>
      </c>
    </row>
    <row r="135" spans="1:9" x14ac:dyDescent="0.2">
      <c r="A135" t="s">
        <v>268</v>
      </c>
      <c r="B135" t="s">
        <v>269</v>
      </c>
      <c r="C135" t="s">
        <v>268</v>
      </c>
      <c r="D135" s="2" t="s">
        <v>423</v>
      </c>
      <c r="E135" t="s">
        <v>389</v>
      </c>
      <c r="F135" t="s">
        <v>620</v>
      </c>
    </row>
    <row r="136" spans="1:9" x14ac:dyDescent="0.2">
      <c r="A136" t="s">
        <v>270</v>
      </c>
      <c r="B136" t="s">
        <v>271</v>
      </c>
      <c r="C136" t="s">
        <v>270</v>
      </c>
      <c r="D136" t="s">
        <v>582</v>
      </c>
      <c r="E136" t="s">
        <v>389</v>
      </c>
      <c r="F136" t="s">
        <v>638</v>
      </c>
      <c r="G136" t="s">
        <v>583</v>
      </c>
      <c r="I136" t="s">
        <v>616</v>
      </c>
    </row>
    <row r="137" spans="1:9" x14ac:dyDescent="0.2">
      <c r="A137" t="s">
        <v>272</v>
      </c>
      <c r="B137" t="s">
        <v>273</v>
      </c>
      <c r="C137" t="s">
        <v>272</v>
      </c>
      <c r="D137" s="2" t="s">
        <v>431</v>
      </c>
      <c r="E137" t="s">
        <v>389</v>
      </c>
      <c r="F137" t="s">
        <v>624</v>
      </c>
      <c r="G137" t="s">
        <v>401</v>
      </c>
    </row>
    <row r="138" spans="1:9" x14ac:dyDescent="0.2">
      <c r="A138" t="s">
        <v>274</v>
      </c>
      <c r="B138" t="s">
        <v>275</v>
      </c>
      <c r="C138" t="s">
        <v>274</v>
      </c>
      <c r="D138" t="s">
        <v>466</v>
      </c>
      <c r="E138" t="s">
        <v>389</v>
      </c>
      <c r="F138" t="s">
        <v>620</v>
      </c>
    </row>
    <row r="139" spans="1:9" x14ac:dyDescent="0.2">
      <c r="A139" t="s">
        <v>276</v>
      </c>
      <c r="B139" t="s">
        <v>277</v>
      </c>
      <c r="C139" t="s">
        <v>276</v>
      </c>
      <c r="D139" t="s">
        <v>454</v>
      </c>
      <c r="E139" t="s">
        <v>389</v>
      </c>
      <c r="F139" t="s">
        <v>625</v>
      </c>
      <c r="G139" t="s">
        <v>439</v>
      </c>
    </row>
    <row r="140" spans="1:9" x14ac:dyDescent="0.2">
      <c r="A140" t="s">
        <v>278</v>
      </c>
      <c r="B140" t="s">
        <v>279</v>
      </c>
      <c r="C140" t="s">
        <v>278</v>
      </c>
      <c r="D140" t="s">
        <v>584</v>
      </c>
      <c r="E140" t="s">
        <v>389</v>
      </c>
      <c r="F140" t="s">
        <v>621</v>
      </c>
      <c r="G140" t="s">
        <v>441</v>
      </c>
      <c r="I140" t="s">
        <v>616</v>
      </c>
    </row>
    <row r="141" spans="1:9" x14ac:dyDescent="0.2">
      <c r="A141" t="s">
        <v>280</v>
      </c>
      <c r="B141" t="s">
        <v>281</v>
      </c>
      <c r="C141" t="s">
        <v>280</v>
      </c>
      <c r="D141" t="s">
        <v>585</v>
      </c>
      <c r="E141" t="s">
        <v>389</v>
      </c>
      <c r="F141" t="s">
        <v>620</v>
      </c>
      <c r="I141" t="s">
        <v>616</v>
      </c>
    </row>
    <row r="142" spans="1:9" x14ac:dyDescent="0.2">
      <c r="A142" t="s">
        <v>282</v>
      </c>
      <c r="B142" t="s">
        <v>283</v>
      </c>
      <c r="C142" t="s">
        <v>282</v>
      </c>
      <c r="D142" t="s">
        <v>447</v>
      </c>
      <c r="E142" t="s">
        <v>389</v>
      </c>
      <c r="F142" t="s">
        <v>621</v>
      </c>
      <c r="G142" t="s">
        <v>441</v>
      </c>
    </row>
    <row r="143" spans="1:9" x14ac:dyDescent="0.2">
      <c r="A143" t="s">
        <v>284</v>
      </c>
      <c r="B143" t="s">
        <v>285</v>
      </c>
      <c r="C143" t="s">
        <v>284</v>
      </c>
      <c r="D143" t="s">
        <v>482</v>
      </c>
      <c r="E143" t="s">
        <v>389</v>
      </c>
      <c r="F143" t="s">
        <v>620</v>
      </c>
    </row>
    <row r="144" spans="1:9" x14ac:dyDescent="0.2">
      <c r="A144" t="s">
        <v>286</v>
      </c>
      <c r="B144" t="s">
        <v>287</v>
      </c>
      <c r="C144" t="s">
        <v>286</v>
      </c>
      <c r="D144" t="s">
        <v>586</v>
      </c>
      <c r="E144" t="s">
        <v>389</v>
      </c>
      <c r="F144" t="s">
        <v>620</v>
      </c>
      <c r="I144" t="s">
        <v>616</v>
      </c>
    </row>
    <row r="145" spans="1:9" x14ac:dyDescent="0.2">
      <c r="A145" t="s">
        <v>288</v>
      </c>
      <c r="B145" t="s">
        <v>289</v>
      </c>
      <c r="C145" t="s">
        <v>288</v>
      </c>
      <c r="D145" t="s">
        <v>587</v>
      </c>
      <c r="E145" t="s">
        <v>389</v>
      </c>
      <c r="F145" t="s">
        <v>620</v>
      </c>
      <c r="I145" t="s">
        <v>616</v>
      </c>
    </row>
    <row r="146" spans="1:9" x14ac:dyDescent="0.2">
      <c r="A146" t="s">
        <v>290</v>
      </c>
      <c r="B146" t="s">
        <v>291</v>
      </c>
      <c r="C146" t="s">
        <v>290</v>
      </c>
      <c r="D146" t="s">
        <v>488</v>
      </c>
      <c r="E146" t="s">
        <v>389</v>
      </c>
      <c r="F146" t="s">
        <v>620</v>
      </c>
    </row>
    <row r="147" spans="1:9" x14ac:dyDescent="0.2">
      <c r="A147" t="s">
        <v>292</v>
      </c>
      <c r="B147" t="s">
        <v>293</v>
      </c>
      <c r="C147" t="s">
        <v>292</v>
      </c>
      <c r="D147" t="s">
        <v>479</v>
      </c>
      <c r="E147" t="s">
        <v>389</v>
      </c>
      <c r="F147" t="s">
        <v>620</v>
      </c>
    </row>
    <row r="148" spans="1:9" x14ac:dyDescent="0.2">
      <c r="A148" t="s">
        <v>294</v>
      </c>
      <c r="B148" t="s">
        <v>295</v>
      </c>
      <c r="C148" t="s">
        <v>294</v>
      </c>
      <c r="D148" t="s">
        <v>588</v>
      </c>
      <c r="E148" t="s">
        <v>389</v>
      </c>
      <c r="F148" t="s">
        <v>621</v>
      </c>
      <c r="G148" t="s">
        <v>441</v>
      </c>
      <c r="I148" t="s">
        <v>616</v>
      </c>
    </row>
    <row r="149" spans="1:9" x14ac:dyDescent="0.2">
      <c r="A149" t="s">
        <v>296</v>
      </c>
      <c r="B149" t="s">
        <v>297</v>
      </c>
      <c r="C149" t="s">
        <v>296</v>
      </c>
      <c r="D149" t="s">
        <v>465</v>
      </c>
      <c r="E149" t="s">
        <v>389</v>
      </c>
      <c r="F149" t="s">
        <v>620</v>
      </c>
    </row>
    <row r="150" spans="1:9" x14ac:dyDescent="0.2">
      <c r="A150" t="s">
        <v>298</v>
      </c>
      <c r="B150" t="s">
        <v>299</v>
      </c>
      <c r="C150" t="s">
        <v>298</v>
      </c>
      <c r="D150" s="2" t="s">
        <v>461</v>
      </c>
      <c r="E150" t="s">
        <v>389</v>
      </c>
      <c r="F150" t="s">
        <v>620</v>
      </c>
    </row>
    <row r="151" spans="1:9" x14ac:dyDescent="0.2">
      <c r="A151" t="s">
        <v>300</v>
      </c>
      <c r="B151" t="s">
        <v>301</v>
      </c>
      <c r="C151" t="s">
        <v>300</v>
      </c>
      <c r="D151" t="s">
        <v>589</v>
      </c>
      <c r="E151" t="s">
        <v>389</v>
      </c>
      <c r="F151" t="s">
        <v>621</v>
      </c>
      <c r="G151" t="s">
        <v>441</v>
      </c>
      <c r="I151" t="s">
        <v>616</v>
      </c>
    </row>
    <row r="152" spans="1:9" x14ac:dyDescent="0.2">
      <c r="A152" t="s">
        <v>302</v>
      </c>
      <c r="B152" t="s">
        <v>303</v>
      </c>
      <c r="C152" t="s">
        <v>302</v>
      </c>
      <c r="D152" t="s">
        <v>481</v>
      </c>
      <c r="E152" t="s">
        <v>389</v>
      </c>
      <c r="F152" t="s">
        <v>620</v>
      </c>
    </row>
    <row r="153" spans="1:9" x14ac:dyDescent="0.2">
      <c r="A153" t="s">
        <v>304</v>
      </c>
      <c r="B153" t="s">
        <v>305</v>
      </c>
      <c r="C153" t="s">
        <v>304</v>
      </c>
      <c r="D153" t="s">
        <v>590</v>
      </c>
      <c r="E153" t="s">
        <v>389</v>
      </c>
      <c r="F153" t="s">
        <v>622</v>
      </c>
      <c r="G153" t="s">
        <v>416</v>
      </c>
      <c r="I153" t="s">
        <v>616</v>
      </c>
    </row>
    <row r="154" spans="1:9" x14ac:dyDescent="0.2">
      <c r="A154" t="s">
        <v>306</v>
      </c>
      <c r="B154" t="s">
        <v>307</v>
      </c>
      <c r="C154" t="s">
        <v>306</v>
      </c>
      <c r="D154" t="s">
        <v>591</v>
      </c>
      <c r="E154" t="s">
        <v>389</v>
      </c>
      <c r="F154" t="s">
        <v>620</v>
      </c>
      <c r="I154" t="s">
        <v>616</v>
      </c>
    </row>
    <row r="155" spans="1:9" x14ac:dyDescent="0.2">
      <c r="A155" t="s">
        <v>308</v>
      </c>
      <c r="B155" t="s">
        <v>309</v>
      </c>
      <c r="C155" t="s">
        <v>308</v>
      </c>
      <c r="D155" t="s">
        <v>480</v>
      </c>
      <c r="E155" t="s">
        <v>389</v>
      </c>
      <c r="F155" t="s">
        <v>620</v>
      </c>
    </row>
    <row r="156" spans="1:9" x14ac:dyDescent="0.2">
      <c r="A156" t="s">
        <v>310</v>
      </c>
      <c r="B156" t="s">
        <v>311</v>
      </c>
      <c r="C156" t="s">
        <v>310</v>
      </c>
      <c r="D156" t="s">
        <v>433</v>
      </c>
      <c r="E156" t="s">
        <v>389</v>
      </c>
      <c r="F156" t="s">
        <v>639</v>
      </c>
      <c r="G156" t="s">
        <v>434</v>
      </c>
    </row>
    <row r="157" spans="1:9" x14ac:dyDescent="0.2">
      <c r="A157" t="s">
        <v>312</v>
      </c>
      <c r="B157" t="s">
        <v>313</v>
      </c>
      <c r="C157" t="s">
        <v>312</v>
      </c>
      <c r="D157" t="s">
        <v>592</v>
      </c>
      <c r="E157" t="s">
        <v>389</v>
      </c>
      <c r="F157" t="s">
        <v>621</v>
      </c>
      <c r="G157" t="s">
        <v>441</v>
      </c>
      <c r="I157" t="s">
        <v>616</v>
      </c>
    </row>
    <row r="158" spans="1:9" x14ac:dyDescent="0.2">
      <c r="A158" t="s">
        <v>314</v>
      </c>
      <c r="B158" t="s">
        <v>315</v>
      </c>
      <c r="C158" t="s">
        <v>314</v>
      </c>
      <c r="D158" t="s">
        <v>593</v>
      </c>
      <c r="E158" t="s">
        <v>389</v>
      </c>
      <c r="F158" t="s">
        <v>621</v>
      </c>
      <c r="G158" t="s">
        <v>441</v>
      </c>
      <c r="I158" t="s">
        <v>616</v>
      </c>
    </row>
    <row r="159" spans="1:9" x14ac:dyDescent="0.2">
      <c r="A159" t="s">
        <v>316</v>
      </c>
      <c r="B159" t="s">
        <v>317</v>
      </c>
      <c r="C159" t="s">
        <v>316</v>
      </c>
      <c r="D159" t="s">
        <v>594</v>
      </c>
      <c r="E159" t="s">
        <v>389</v>
      </c>
      <c r="F159" t="s">
        <v>622</v>
      </c>
      <c r="G159" t="s">
        <v>416</v>
      </c>
      <c r="I159" t="s">
        <v>616</v>
      </c>
    </row>
    <row r="160" spans="1:9" x14ac:dyDescent="0.2">
      <c r="A160" t="s">
        <v>318</v>
      </c>
      <c r="B160" t="s">
        <v>319</v>
      </c>
      <c r="C160" t="s">
        <v>318</v>
      </c>
      <c r="D160" t="s">
        <v>595</v>
      </c>
      <c r="E160" t="s">
        <v>389</v>
      </c>
      <c r="F160" t="s">
        <v>621</v>
      </c>
      <c r="G160" t="s">
        <v>441</v>
      </c>
      <c r="I160" t="s">
        <v>616</v>
      </c>
    </row>
    <row r="161" spans="1:9" x14ac:dyDescent="0.2">
      <c r="A161" t="s">
        <v>320</v>
      </c>
      <c r="B161" t="s">
        <v>321</v>
      </c>
      <c r="C161" t="s">
        <v>320</v>
      </c>
      <c r="D161" t="s">
        <v>596</v>
      </c>
      <c r="E161" t="s">
        <v>389</v>
      </c>
      <c r="F161" t="s">
        <v>620</v>
      </c>
      <c r="I161" t="s">
        <v>616</v>
      </c>
    </row>
    <row r="162" spans="1:9" x14ac:dyDescent="0.2">
      <c r="A162" t="s">
        <v>322</v>
      </c>
      <c r="B162" t="s">
        <v>323</v>
      </c>
      <c r="C162" t="s">
        <v>322</v>
      </c>
      <c r="D162" t="s">
        <v>597</v>
      </c>
      <c r="E162" t="s">
        <v>389</v>
      </c>
      <c r="F162" t="s">
        <v>620</v>
      </c>
      <c r="I162" t="s">
        <v>616</v>
      </c>
    </row>
    <row r="163" spans="1:9" x14ac:dyDescent="0.2">
      <c r="A163" t="s">
        <v>324</v>
      </c>
      <c r="B163" t="s">
        <v>325</v>
      </c>
      <c r="C163" t="s">
        <v>324</v>
      </c>
      <c r="D163" s="2" t="s">
        <v>453</v>
      </c>
      <c r="E163" t="s">
        <v>389</v>
      </c>
      <c r="F163" t="s">
        <v>620</v>
      </c>
    </row>
    <row r="164" spans="1:9" x14ac:dyDescent="0.2">
      <c r="A164" t="s">
        <v>326</v>
      </c>
      <c r="B164" t="s">
        <v>327</v>
      </c>
      <c r="C164" t="s">
        <v>326</v>
      </c>
      <c r="D164" t="s">
        <v>598</v>
      </c>
      <c r="E164" t="s">
        <v>389</v>
      </c>
      <c r="F164" t="s">
        <v>621</v>
      </c>
      <c r="G164" t="s">
        <v>441</v>
      </c>
      <c r="I164" t="s">
        <v>616</v>
      </c>
    </row>
    <row r="165" spans="1:9" x14ac:dyDescent="0.2">
      <c r="A165" t="s">
        <v>328</v>
      </c>
      <c r="B165" t="s">
        <v>329</v>
      </c>
      <c r="C165" t="s">
        <v>328</v>
      </c>
      <c r="D165" t="s">
        <v>452</v>
      </c>
      <c r="E165" t="s">
        <v>389</v>
      </c>
      <c r="F165" t="s">
        <v>620</v>
      </c>
    </row>
    <row r="166" spans="1:9" x14ac:dyDescent="0.2">
      <c r="A166" t="s">
        <v>330</v>
      </c>
      <c r="B166" t="s">
        <v>331</v>
      </c>
      <c r="C166" t="s">
        <v>330</v>
      </c>
      <c r="D166" t="s">
        <v>458</v>
      </c>
      <c r="E166" t="s">
        <v>389</v>
      </c>
      <c r="F166" t="s">
        <v>620</v>
      </c>
    </row>
    <row r="167" spans="1:9" x14ac:dyDescent="0.2">
      <c r="A167" t="s">
        <v>332</v>
      </c>
      <c r="B167" t="s">
        <v>333</v>
      </c>
      <c r="C167" t="s">
        <v>332</v>
      </c>
      <c r="D167" s="2" t="s">
        <v>460</v>
      </c>
      <c r="E167" t="s">
        <v>389</v>
      </c>
      <c r="F167" t="s">
        <v>620</v>
      </c>
    </row>
    <row r="168" spans="1:9" x14ac:dyDescent="0.2">
      <c r="A168" t="s">
        <v>334</v>
      </c>
      <c r="B168" t="s">
        <v>335</v>
      </c>
      <c r="C168" t="s">
        <v>334</v>
      </c>
      <c r="D168" t="s">
        <v>599</v>
      </c>
      <c r="E168" t="s">
        <v>389</v>
      </c>
      <c r="F168" t="s">
        <v>621</v>
      </c>
      <c r="G168" t="s">
        <v>441</v>
      </c>
      <c r="I168" t="s">
        <v>616</v>
      </c>
    </row>
    <row r="169" spans="1:9" x14ac:dyDescent="0.2">
      <c r="A169" t="s">
        <v>336</v>
      </c>
      <c r="B169" t="s">
        <v>337</v>
      </c>
      <c r="C169" t="s">
        <v>336</v>
      </c>
      <c r="D169" t="s">
        <v>600</v>
      </c>
      <c r="E169" t="s">
        <v>389</v>
      </c>
      <c r="F169" t="s">
        <v>620</v>
      </c>
      <c r="I169" t="s">
        <v>616</v>
      </c>
    </row>
    <row r="170" spans="1:9" x14ac:dyDescent="0.2">
      <c r="A170" t="s">
        <v>338</v>
      </c>
      <c r="B170" t="s">
        <v>339</v>
      </c>
      <c r="C170" t="s">
        <v>338</v>
      </c>
      <c r="D170" t="s">
        <v>601</v>
      </c>
      <c r="E170" t="s">
        <v>389</v>
      </c>
      <c r="F170" t="s">
        <v>640</v>
      </c>
      <c r="G170" t="s">
        <v>602</v>
      </c>
      <c r="I170" t="s">
        <v>616</v>
      </c>
    </row>
    <row r="171" spans="1:9" x14ac:dyDescent="0.2">
      <c r="A171" t="s">
        <v>340</v>
      </c>
      <c r="B171" t="s">
        <v>341</v>
      </c>
      <c r="C171" t="s">
        <v>340</v>
      </c>
      <c r="D171" s="2" t="s">
        <v>425</v>
      </c>
      <c r="E171" t="s">
        <v>389</v>
      </c>
      <c r="F171" t="s">
        <v>620</v>
      </c>
    </row>
    <row r="172" spans="1:9" x14ac:dyDescent="0.2">
      <c r="A172" t="s">
        <v>342</v>
      </c>
      <c r="B172" t="s">
        <v>343</v>
      </c>
      <c r="C172" t="s">
        <v>342</v>
      </c>
      <c r="D172" t="s">
        <v>603</v>
      </c>
      <c r="E172" t="s">
        <v>389</v>
      </c>
      <c r="F172" t="s">
        <v>620</v>
      </c>
    </row>
    <row r="173" spans="1:9" x14ac:dyDescent="0.2">
      <c r="A173" t="s">
        <v>344</v>
      </c>
      <c r="B173" t="s">
        <v>345</v>
      </c>
      <c r="C173" t="s">
        <v>344</v>
      </c>
      <c r="D173" t="s">
        <v>604</v>
      </c>
      <c r="E173" t="s">
        <v>389</v>
      </c>
      <c r="F173" t="s">
        <v>620</v>
      </c>
    </row>
    <row r="174" spans="1:9" x14ac:dyDescent="0.2">
      <c r="A174" t="s">
        <v>346</v>
      </c>
      <c r="B174" t="s">
        <v>347</v>
      </c>
      <c r="C174" t="s">
        <v>346</v>
      </c>
      <c r="D174" t="s">
        <v>605</v>
      </c>
      <c r="E174" t="s">
        <v>389</v>
      </c>
      <c r="F174" t="s">
        <v>620</v>
      </c>
    </row>
    <row r="175" spans="1:9" x14ac:dyDescent="0.2">
      <c r="A175" t="s">
        <v>348</v>
      </c>
      <c r="B175" t="s">
        <v>349</v>
      </c>
      <c r="C175" t="s">
        <v>348</v>
      </c>
      <c r="D175" t="s">
        <v>606</v>
      </c>
      <c r="E175" t="s">
        <v>389</v>
      </c>
      <c r="F175" t="s">
        <v>620</v>
      </c>
    </row>
    <row r="176" spans="1:9" x14ac:dyDescent="0.2">
      <c r="A176" t="s">
        <v>350</v>
      </c>
      <c r="B176" t="s">
        <v>351</v>
      </c>
      <c r="C176" t="s">
        <v>350</v>
      </c>
      <c r="D176" t="s">
        <v>607</v>
      </c>
      <c r="E176" t="s">
        <v>389</v>
      </c>
      <c r="F176" t="s">
        <v>620</v>
      </c>
    </row>
    <row r="177" spans="1:8" x14ac:dyDescent="0.2">
      <c r="A177" t="s">
        <v>352</v>
      </c>
      <c r="B177" t="s">
        <v>353</v>
      </c>
      <c r="C177" t="s">
        <v>352</v>
      </c>
      <c r="D177" s="2" t="s">
        <v>417</v>
      </c>
      <c r="E177" t="s">
        <v>389</v>
      </c>
      <c r="F177" t="s">
        <v>620</v>
      </c>
    </row>
    <row r="178" spans="1:8" x14ac:dyDescent="0.2">
      <c r="A178" t="s">
        <v>354</v>
      </c>
      <c r="B178" t="s">
        <v>355</v>
      </c>
      <c r="C178" t="s">
        <v>354</v>
      </c>
      <c r="D178" t="s">
        <v>608</v>
      </c>
      <c r="E178" t="s">
        <v>389</v>
      </c>
      <c r="F178" t="s">
        <v>620</v>
      </c>
    </row>
    <row r="179" spans="1:8" x14ac:dyDescent="0.2">
      <c r="A179" t="s">
        <v>356</v>
      </c>
      <c r="B179" t="s">
        <v>357</v>
      </c>
      <c r="C179" t="s">
        <v>356</v>
      </c>
      <c r="D179" s="2" t="s">
        <v>435</v>
      </c>
      <c r="E179" t="s">
        <v>389</v>
      </c>
      <c r="F179" t="s">
        <v>620</v>
      </c>
    </row>
    <row r="180" spans="1:8" x14ac:dyDescent="0.2">
      <c r="A180" t="s">
        <v>358</v>
      </c>
      <c r="B180" t="s">
        <v>359</v>
      </c>
      <c r="C180" t="s">
        <v>358</v>
      </c>
      <c r="D180" t="s">
        <v>446</v>
      </c>
      <c r="E180" t="s">
        <v>389</v>
      </c>
      <c r="F180" t="s">
        <v>620</v>
      </c>
    </row>
    <row r="181" spans="1:8" x14ac:dyDescent="0.2">
      <c r="A181" t="s">
        <v>360</v>
      </c>
      <c r="B181" t="s">
        <v>361</v>
      </c>
      <c r="C181" t="s">
        <v>360</v>
      </c>
      <c r="D181" s="2" t="s">
        <v>414</v>
      </c>
      <c r="E181" t="s">
        <v>389</v>
      </c>
      <c r="F181" t="s">
        <v>620</v>
      </c>
    </row>
    <row r="182" spans="1:8" x14ac:dyDescent="0.2">
      <c r="A182" t="s">
        <v>362</v>
      </c>
      <c r="B182" t="s">
        <v>363</v>
      </c>
      <c r="C182" t="s">
        <v>362</v>
      </c>
      <c r="D182" t="s">
        <v>609</v>
      </c>
      <c r="E182" t="s">
        <v>389</v>
      </c>
      <c r="F182" t="s">
        <v>620</v>
      </c>
    </row>
    <row r="183" spans="1:8" x14ac:dyDescent="0.2">
      <c r="A183" t="s">
        <v>364</v>
      </c>
      <c r="B183" t="s">
        <v>365</v>
      </c>
      <c r="C183" t="s">
        <v>364</v>
      </c>
      <c r="D183" t="s">
        <v>610</v>
      </c>
      <c r="E183" t="s">
        <v>389</v>
      </c>
      <c r="F183" t="s">
        <v>620</v>
      </c>
    </row>
    <row r="184" spans="1:8" x14ac:dyDescent="0.2">
      <c r="A184" t="s">
        <v>366</v>
      </c>
      <c r="B184" t="s">
        <v>367</v>
      </c>
      <c r="C184" t="s">
        <v>366</v>
      </c>
      <c r="D184" t="s">
        <v>611</v>
      </c>
      <c r="E184" t="s">
        <v>389</v>
      </c>
      <c r="F184" t="s">
        <v>620</v>
      </c>
    </row>
    <row r="185" spans="1:8" x14ac:dyDescent="0.2">
      <c r="A185" t="s">
        <v>368</v>
      </c>
      <c r="B185" t="s">
        <v>369</v>
      </c>
      <c r="C185" t="s">
        <v>368</v>
      </c>
      <c r="D185" t="s">
        <v>612</v>
      </c>
      <c r="E185" t="s">
        <v>389</v>
      </c>
      <c r="F185" t="s">
        <v>620</v>
      </c>
      <c r="H185" t="s">
        <v>553</v>
      </c>
    </row>
    <row r="186" spans="1:8" x14ac:dyDescent="0.2">
      <c r="A186" t="s">
        <v>370</v>
      </c>
      <c r="B186" t="s">
        <v>371</v>
      </c>
      <c r="C186" t="s">
        <v>370</v>
      </c>
      <c r="D186" t="s">
        <v>613</v>
      </c>
      <c r="E186" t="s">
        <v>389</v>
      </c>
      <c r="F186" t="s">
        <v>620</v>
      </c>
    </row>
    <row r="187" spans="1:8" x14ac:dyDescent="0.2">
      <c r="A187" t="s">
        <v>372</v>
      </c>
      <c r="B187" t="s">
        <v>373</v>
      </c>
      <c r="C187" t="s">
        <v>372</v>
      </c>
      <c r="D187" t="s">
        <v>845</v>
      </c>
      <c r="E187" t="s">
        <v>389</v>
      </c>
      <c r="F187" t="s">
        <v>620</v>
      </c>
    </row>
    <row r="188" spans="1:8" x14ac:dyDescent="0.2">
      <c r="A188" t="s">
        <v>374</v>
      </c>
      <c r="B188" t="s">
        <v>375</v>
      </c>
      <c r="C188" t="s">
        <v>374</v>
      </c>
      <c r="D188" t="s">
        <v>463</v>
      </c>
      <c r="E188" t="s">
        <v>389</v>
      </c>
      <c r="F188" t="s">
        <v>620</v>
      </c>
    </row>
    <row r="189" spans="1:8" x14ac:dyDescent="0.2">
      <c r="A189" t="s">
        <v>376</v>
      </c>
      <c r="B189" t="s">
        <v>377</v>
      </c>
      <c r="C189" t="s">
        <v>376</v>
      </c>
      <c r="F189" t="s">
        <v>620</v>
      </c>
    </row>
    <row r="190" spans="1:8" x14ac:dyDescent="0.2">
      <c r="A190" t="s">
        <v>378</v>
      </c>
      <c r="B190" t="s">
        <v>379</v>
      </c>
      <c r="C190" t="s">
        <v>378</v>
      </c>
      <c r="D190" s="2" t="s">
        <v>393</v>
      </c>
      <c r="E190" t="s">
        <v>389</v>
      </c>
      <c r="F190" t="s">
        <v>620</v>
      </c>
    </row>
    <row r="191" spans="1:8" x14ac:dyDescent="0.2">
      <c r="A191" t="s">
        <v>380</v>
      </c>
      <c r="B191" t="s">
        <v>381</v>
      </c>
      <c r="C191" t="s">
        <v>380</v>
      </c>
      <c r="D191" t="s">
        <v>470</v>
      </c>
      <c r="E191" t="s">
        <v>389</v>
      </c>
      <c r="F191" t="s">
        <v>620</v>
      </c>
    </row>
    <row r="192" spans="1:8" x14ac:dyDescent="0.2">
      <c r="A192" t="s">
        <v>382</v>
      </c>
      <c r="B192" t="s">
        <v>383</v>
      </c>
      <c r="C192" t="s">
        <v>382</v>
      </c>
      <c r="D192" t="s">
        <v>614</v>
      </c>
      <c r="E192" t="s">
        <v>389</v>
      </c>
      <c r="F192" t="s">
        <v>620</v>
      </c>
    </row>
    <row r="193" spans="1:6" x14ac:dyDescent="0.2">
      <c r="A193" t="s">
        <v>384</v>
      </c>
      <c r="B193" t="s">
        <v>385</v>
      </c>
      <c r="C193" t="s">
        <v>384</v>
      </c>
      <c r="D193" s="2" t="s">
        <v>432</v>
      </c>
      <c r="E193" t="s">
        <v>389</v>
      </c>
      <c r="F193" t="s">
        <v>620</v>
      </c>
    </row>
    <row r="194" spans="1:6" x14ac:dyDescent="0.2">
      <c r="A194" t="s">
        <v>386</v>
      </c>
      <c r="B194" t="s">
        <v>387</v>
      </c>
      <c r="C194" t="s">
        <v>386</v>
      </c>
      <c r="D194" t="s">
        <v>615</v>
      </c>
      <c r="E194" t="s">
        <v>389</v>
      </c>
      <c r="F194" t="s">
        <v>620</v>
      </c>
    </row>
    <row r="196" spans="1:6" x14ac:dyDescent="0.2">
      <c r="D196">
        <f>COUNTA(D2:D194)</f>
        <v>192</v>
      </c>
    </row>
    <row r="197" spans="1:6" x14ac:dyDescent="0.2">
      <c r="D197" s="3">
        <f>D196/193</f>
        <v>0.99481865284974091</v>
      </c>
    </row>
  </sheetData>
  <hyperlinks>
    <hyperlink ref="D5" r:id="rId1" xr:uid="{D8EE7672-0977-F349-B277-501071EF9C42}"/>
    <hyperlink ref="D2" r:id="rId2" xr:uid="{6B69A56A-C07D-874B-8AEE-E89AF6DAEB7B}"/>
    <hyperlink ref="D3" r:id="rId3" xr:uid="{DE1AA13A-0934-7644-A214-356D2764A9F4}"/>
    <hyperlink ref="D8" r:id="rId4" xr:uid="{1E43C9AD-B91F-8140-94D0-3CB4510D91AF}"/>
    <hyperlink ref="D78" r:id="rId5" xr:uid="{540CF5D2-EE45-EC4C-8001-914BABD8EBF5}"/>
    <hyperlink ref="D190" r:id="rId6" xr:uid="{1733EA2C-5DB3-6541-BFD3-D553E7FA5794}"/>
    <hyperlink ref="D55" r:id="rId7" xr:uid="{513E9CF8-A696-5D41-8305-D6A27EA0C07B}"/>
    <hyperlink ref="D21" r:id="rId8" xr:uid="{81A862D7-46A9-9844-8290-B513C84947B3}"/>
    <hyperlink ref="D57" r:id="rId9" xr:uid="{15CF0145-4017-1A40-8F69-1802280EAAD1}"/>
    <hyperlink ref="D20" r:id="rId10" xr:uid="{4C077630-45D9-2D40-8981-91F23A37C968}"/>
    <hyperlink ref="D89" r:id="rId11" xr:uid="{0974E0ED-2D3A-264C-8F19-1E5EAA63432E}"/>
    <hyperlink ref="D62" r:id="rId12" xr:uid="{AA66932C-93A8-A34A-970B-36BAC95138AC}"/>
    <hyperlink ref="D114" r:id="rId13" xr:uid="{F9A478A6-ACEE-8D4E-9B6C-C098E88718FD}"/>
    <hyperlink ref="D25" r:id="rId14" xr:uid="{72D815F2-AB90-524F-B9C1-2933AD35F29E}"/>
    <hyperlink ref="D130" r:id="rId15" xr:uid="{94D91EF8-0B86-9848-BAEA-3AF4AB2901CB}"/>
    <hyperlink ref="D111" r:id="rId16" xr:uid="{534E3ECB-6EC9-4F4B-B0D7-A04E5E08A1FB}"/>
    <hyperlink ref="D120" r:id="rId17" xr:uid="{CE5F9DB4-7FA1-B346-AD32-6368394A7639}"/>
    <hyperlink ref="D48" r:id="rId18" xr:uid="{C0CF1105-1E5A-874B-AE27-A2A0AA0D742F}"/>
    <hyperlink ref="D96" r:id="rId19" xr:uid="{95C1D7D6-6D21-7A46-9923-0B94235B4FFE}"/>
    <hyperlink ref="D71" r:id="rId20" xr:uid="{88735D4C-817E-024C-B68C-8B45895D36DB}"/>
    <hyperlink ref="D181" r:id="rId21" xr:uid="{D6ADC6BC-DCBA-C94F-A9B7-42F2369B2D42}"/>
    <hyperlink ref="D65" r:id="rId22" xr:uid="{C0DFCAC0-D484-494C-9706-A48C799DDF1B}"/>
    <hyperlink ref="D177" r:id="rId23" xr:uid="{AF8A016C-60FB-704E-A291-4D9127ABF4FC}"/>
    <hyperlink ref="D115" r:id="rId24" xr:uid="{56213D63-8983-6E4F-B770-2F371B330C87}"/>
    <hyperlink ref="D88" r:id="rId25" xr:uid="{C6BC81D3-D10E-F943-8A9C-492EB121878E}"/>
    <hyperlink ref="D19" r:id="rId26" xr:uid="{6CDC4A2C-4B26-B241-A31A-B06822A3C8DB}"/>
    <hyperlink ref="D131" r:id="rId27" xr:uid="{B1E3C633-8112-CA4A-9B5E-718EA74A0200}"/>
    <hyperlink ref="D123" r:id="rId28" xr:uid="{1054E390-831B-E147-BB32-71CBB3581EED}"/>
    <hyperlink ref="D135" r:id="rId29" xr:uid="{ECAAF692-B72E-C041-AEE8-543D5E09ED81}"/>
    <hyperlink ref="D82" r:id="rId30" xr:uid="{64745031-1295-124E-8EE2-3F88B6CECF95}"/>
    <hyperlink ref="D171" r:id="rId31" xr:uid="{627FD290-A699-1B42-8AEA-D5F7FE799332}"/>
    <hyperlink ref="D128" r:id="rId32" xr:uid="{B867F70B-BCF1-5648-99C5-7E99A8F6AF50}"/>
    <hyperlink ref="D40" r:id="rId33" xr:uid="{2279A5DA-1E2B-BF4F-8D4F-3088A4BDB579}"/>
    <hyperlink ref="D107" r:id="rId34" xr:uid="{F8BF42BB-153B-DE49-8D90-0088DE52026C}"/>
    <hyperlink ref="D101" r:id="rId35" xr:uid="{4744E261-9B8D-2A4D-8260-DF79E78FF5F9}"/>
    <hyperlink ref="D137" r:id="rId36" xr:uid="{4FD63E2A-DB4B-1A47-8D20-26F7405AD3FE}"/>
    <hyperlink ref="D193" r:id="rId37" xr:uid="{2E20D801-3228-BB42-A5CE-61FFBA38AFF7}"/>
    <hyperlink ref="D33" r:id="rId38" xr:uid="{81181091-CD45-DE4B-A60C-268C7A9CA502}"/>
    <hyperlink ref="D179" r:id="rId39" xr:uid="{600082F6-60A5-624F-868C-0243E29D1657}"/>
    <hyperlink ref="D125" r:id="rId40" xr:uid="{ABDAC394-80BC-1645-BE7E-D7234B3D0609}"/>
    <hyperlink ref="D92" r:id="rId41" xr:uid="{C04E0B44-0441-F54D-B6F8-E9FF3C74D2CD}"/>
    <hyperlink ref="D124" r:id="rId42" xr:uid="{CD2C24BD-E0FB-E74D-9012-306017132B09}"/>
    <hyperlink ref="D67" r:id="rId43" xr:uid="{B94BD1CF-31D7-7346-A57A-20D2BB02E9C6}"/>
    <hyperlink ref="D28" r:id="rId44" xr:uid="{31D8304B-FF95-5247-ADB8-357993EBCE77}"/>
    <hyperlink ref="D102" r:id="rId45" xr:uid="{2009D579-B952-4E40-9601-6C2CC80AF182}"/>
    <hyperlink ref="D113" r:id="rId46" xr:uid="{C7B327E8-99B5-0D4F-813A-C33BC615831E}"/>
    <hyperlink ref="D163" r:id="rId47" xr:uid="{7B9970DB-7322-E64F-A8A2-E5889AF5C99B}"/>
    <hyperlink ref="D167" r:id="rId48" xr:uid="{3F238587-E12D-1E49-B898-7A87DE9E6ED3}"/>
    <hyperlink ref="D150" r:id="rId49" xr:uid="{3499F740-7771-2046-8B5E-7987C0085DFC}"/>
    <hyperlink ref="D11" r:id="rId50" xr:uid="{DD5CD107-8DCD-8E46-AFB0-EAEDDB6CDE8A}"/>
    <hyperlink ref="D4" r:id="rId51" xr:uid="{E7BC8365-1A44-2147-8CED-F7F8D3FD8E94}"/>
    <hyperlink ref="D7" r:id="rId52" xr:uid="{74F73B7A-E6D2-484D-9F0B-CE7272E817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4530-2531-5242-B8FE-5676A011CC42}">
  <dimension ref="A1:Q197"/>
  <sheetViews>
    <sheetView tabSelected="1" workbookViewId="0">
      <selection activeCell="F8" sqref="F8"/>
    </sheetView>
  </sheetViews>
  <sheetFormatPr baseColWidth="10" defaultRowHeight="15" x14ac:dyDescent="0.2"/>
  <cols>
    <col min="1" max="1" width="5" customWidth="1"/>
    <col min="3" max="3" width="17.6640625" customWidth="1"/>
    <col min="4" max="4" width="25.33203125" customWidth="1"/>
    <col min="7" max="7" width="10.83203125" style="14"/>
    <col min="8" max="8" width="11.33203125" style="14" bestFit="1" customWidth="1"/>
    <col min="9" max="9" width="10.83203125" style="14"/>
    <col min="11" max="14" width="10.83203125" customWidth="1"/>
    <col min="17" max="17" width="6.33203125" customWidth="1"/>
  </cols>
  <sheetData>
    <row r="1" spans="1:17" ht="61" x14ac:dyDescent="0.2">
      <c r="A1" s="1" t="s">
        <v>847</v>
      </c>
      <c r="B1" s="1" t="s">
        <v>0</v>
      </c>
      <c r="C1" s="1" t="s">
        <v>1</v>
      </c>
      <c r="D1" s="1" t="s">
        <v>617</v>
      </c>
      <c r="E1" s="1" t="s">
        <v>1127</v>
      </c>
      <c r="F1" s="1" t="s">
        <v>619</v>
      </c>
      <c r="G1" s="15" t="s">
        <v>618</v>
      </c>
      <c r="H1" s="15" t="s">
        <v>641</v>
      </c>
      <c r="I1" s="15" t="s">
        <v>1113</v>
      </c>
      <c r="J1" s="1" t="s">
        <v>1114</v>
      </c>
      <c r="K1" s="1" t="s">
        <v>1121</v>
      </c>
      <c r="L1" s="1" t="s">
        <v>1119</v>
      </c>
      <c r="M1" s="1" t="s">
        <v>1128</v>
      </c>
      <c r="N1" s="1" t="s">
        <v>1186</v>
      </c>
      <c r="O1" s="1" t="s">
        <v>1186</v>
      </c>
      <c r="P1" s="1" t="s">
        <v>1187</v>
      </c>
      <c r="Q1" s="1" t="s">
        <v>1188</v>
      </c>
    </row>
    <row r="2" spans="1:17" x14ac:dyDescent="0.2">
      <c r="A2" s="4" t="s">
        <v>644</v>
      </c>
      <c r="B2" t="s">
        <v>2</v>
      </c>
      <c r="C2" t="s">
        <v>3</v>
      </c>
      <c r="D2" s="2" t="s">
        <v>390</v>
      </c>
      <c r="E2" s="13">
        <v>45350</v>
      </c>
      <c r="F2" t="s">
        <v>389</v>
      </c>
      <c r="G2" s="14" t="s">
        <v>620</v>
      </c>
      <c r="H2" s="14" t="str">
        <f>_xlfn.CONCAT(A2,"_",B2,".pdf")</f>
        <v>002_SWE.pdf</v>
      </c>
      <c r="I2" s="14" t="s">
        <v>620</v>
      </c>
      <c r="J2" t="s">
        <v>1115</v>
      </c>
      <c r="K2">
        <v>2022</v>
      </c>
      <c r="L2" t="s">
        <v>1118</v>
      </c>
      <c r="M2" t="s">
        <v>1129</v>
      </c>
      <c r="N2">
        <f>VALUE(MID(L2,1,4))</f>
        <v>2019</v>
      </c>
      <c r="O2">
        <v>2019</v>
      </c>
      <c r="P2">
        <v>2021</v>
      </c>
      <c r="Q2">
        <v>2</v>
      </c>
    </row>
    <row r="3" spans="1:17" x14ac:dyDescent="0.2">
      <c r="A3" s="4" t="s">
        <v>645</v>
      </c>
      <c r="B3" t="s">
        <v>4</v>
      </c>
      <c r="C3" t="s">
        <v>5</v>
      </c>
      <c r="D3" s="2" t="s">
        <v>390</v>
      </c>
      <c r="E3" s="13">
        <v>45350</v>
      </c>
      <c r="F3" t="s">
        <v>389</v>
      </c>
      <c r="G3" s="14" t="s">
        <v>620</v>
      </c>
      <c r="H3" s="14" t="str">
        <f t="shared" ref="H3:H66" si="0">_xlfn.CONCAT(A3,"_",B3,".pdf")</f>
        <v>003_CHE.pdf</v>
      </c>
      <c r="I3" s="14" t="s">
        <v>620</v>
      </c>
      <c r="J3" t="s">
        <v>1115</v>
      </c>
      <c r="K3">
        <v>2022</v>
      </c>
      <c r="L3" t="s">
        <v>1120</v>
      </c>
      <c r="M3" t="s">
        <v>1129</v>
      </c>
      <c r="N3">
        <f t="shared" ref="N3:N66" si="1">VALUE(MID(L3,1,4))</f>
        <v>2021</v>
      </c>
      <c r="O3">
        <v>2021</v>
      </c>
      <c r="P3">
        <v>2023</v>
      </c>
      <c r="Q3">
        <v>2</v>
      </c>
    </row>
    <row r="4" spans="1:17" x14ac:dyDescent="0.2">
      <c r="A4" s="4" t="s">
        <v>646</v>
      </c>
      <c r="B4" t="s">
        <v>6</v>
      </c>
      <c r="C4" t="s">
        <v>7</v>
      </c>
      <c r="D4" s="2" t="s">
        <v>838</v>
      </c>
      <c r="E4" s="13">
        <v>45380</v>
      </c>
      <c r="F4" t="s">
        <v>389</v>
      </c>
      <c r="G4" s="14" t="s">
        <v>623</v>
      </c>
      <c r="H4" s="14" t="str">
        <f t="shared" si="0"/>
        <v>004_NLD.pdf</v>
      </c>
      <c r="I4" s="14" t="s">
        <v>623</v>
      </c>
      <c r="J4" t="s">
        <v>1115</v>
      </c>
      <c r="K4">
        <v>2022</v>
      </c>
      <c r="M4" t="s">
        <v>1129</v>
      </c>
      <c r="O4">
        <v>2022</v>
      </c>
    </row>
    <row r="5" spans="1:17" x14ac:dyDescent="0.2">
      <c r="A5" s="4" t="s">
        <v>647</v>
      </c>
      <c r="B5" t="s">
        <v>8</v>
      </c>
      <c r="C5" t="s">
        <v>9</v>
      </c>
      <c r="D5" s="2" t="s">
        <v>388</v>
      </c>
      <c r="E5" s="13">
        <v>45350</v>
      </c>
      <c r="F5" t="s">
        <v>389</v>
      </c>
      <c r="G5" s="14" t="s">
        <v>620</v>
      </c>
      <c r="H5" s="14" t="str">
        <f t="shared" si="0"/>
        <v>005_FIN.pdf</v>
      </c>
      <c r="I5" s="14" t="s">
        <v>620</v>
      </c>
      <c r="J5" t="s">
        <v>1115</v>
      </c>
      <c r="K5">
        <v>2022</v>
      </c>
      <c r="L5" t="s">
        <v>1122</v>
      </c>
      <c r="M5" t="s">
        <v>1129</v>
      </c>
      <c r="N5">
        <f t="shared" si="1"/>
        <v>2022</v>
      </c>
      <c r="O5">
        <v>2022</v>
      </c>
      <c r="P5">
        <v>2030</v>
      </c>
      <c r="Q5">
        <v>8</v>
      </c>
    </row>
    <row r="6" spans="1:17" x14ac:dyDescent="0.2">
      <c r="A6" s="4" t="s">
        <v>648</v>
      </c>
      <c r="B6" t="s">
        <v>10</v>
      </c>
      <c r="C6" t="s">
        <v>11</v>
      </c>
      <c r="D6" t="s">
        <v>462</v>
      </c>
      <c r="E6" s="13">
        <v>45350</v>
      </c>
      <c r="F6" t="s">
        <v>389</v>
      </c>
      <c r="G6" s="14" t="s">
        <v>621</v>
      </c>
      <c r="H6" s="14" t="str">
        <f t="shared" si="0"/>
        <v>006_BEN.pdf</v>
      </c>
      <c r="I6" s="14" t="s">
        <v>621</v>
      </c>
      <c r="J6" t="s">
        <v>1115</v>
      </c>
      <c r="L6" t="s">
        <v>1123</v>
      </c>
      <c r="M6" t="s">
        <v>1129</v>
      </c>
      <c r="N6">
        <f t="shared" si="1"/>
        <v>2018</v>
      </c>
      <c r="O6">
        <v>2018</v>
      </c>
      <c r="P6">
        <v>2025</v>
      </c>
      <c r="Q6">
        <v>7</v>
      </c>
    </row>
    <row r="7" spans="1:17" x14ac:dyDescent="0.2">
      <c r="A7" s="4" t="s">
        <v>649</v>
      </c>
      <c r="B7" t="s">
        <v>12</v>
      </c>
      <c r="C7" t="s">
        <v>13</v>
      </c>
      <c r="D7" s="2" t="s">
        <v>839</v>
      </c>
      <c r="E7" s="13">
        <v>45380</v>
      </c>
      <c r="F7" t="s">
        <v>389</v>
      </c>
      <c r="G7" s="14" t="s">
        <v>620</v>
      </c>
      <c r="H7" s="14" t="str">
        <f t="shared" si="0"/>
        <v>007_NOR.pdf</v>
      </c>
      <c r="I7" s="14" t="s">
        <v>620</v>
      </c>
      <c r="J7" t="s">
        <v>1115</v>
      </c>
      <c r="K7">
        <v>2016</v>
      </c>
      <c r="L7">
        <v>2030</v>
      </c>
      <c r="M7" t="s">
        <v>1129</v>
      </c>
      <c r="N7">
        <f t="shared" si="1"/>
        <v>2030</v>
      </c>
      <c r="O7">
        <v>2016</v>
      </c>
      <c r="P7">
        <v>2030</v>
      </c>
      <c r="Q7">
        <v>14</v>
      </c>
    </row>
    <row r="8" spans="1:17" x14ac:dyDescent="0.2">
      <c r="A8" s="4" t="s">
        <v>650</v>
      </c>
      <c r="B8" t="s">
        <v>14</v>
      </c>
      <c r="C8" t="s">
        <v>15</v>
      </c>
      <c r="D8" s="2" t="s">
        <v>391</v>
      </c>
      <c r="E8" s="13">
        <v>45350</v>
      </c>
      <c r="F8" t="s">
        <v>389</v>
      </c>
      <c r="G8" s="14" t="s">
        <v>0</v>
      </c>
      <c r="H8" s="14" t="str">
        <f t="shared" si="0"/>
        <v>008_IDN.pdf</v>
      </c>
      <c r="I8" s="14" t="s">
        <v>0</v>
      </c>
      <c r="J8" t="s">
        <v>1115</v>
      </c>
      <c r="K8">
        <v>2014</v>
      </c>
      <c r="L8" t="s">
        <v>1124</v>
      </c>
      <c r="M8" t="s">
        <v>1129</v>
      </c>
      <c r="N8">
        <f t="shared" si="1"/>
        <v>2015</v>
      </c>
      <c r="O8">
        <v>2014</v>
      </c>
      <c r="P8">
        <v>2019</v>
      </c>
      <c r="Q8">
        <v>5</v>
      </c>
    </row>
    <row r="9" spans="1:17" x14ac:dyDescent="0.2">
      <c r="A9" s="4" t="s">
        <v>651</v>
      </c>
      <c r="B9" t="s">
        <v>16</v>
      </c>
      <c r="C9" t="s">
        <v>17</v>
      </c>
      <c r="D9" t="s">
        <v>841</v>
      </c>
      <c r="E9" s="13">
        <v>45380</v>
      </c>
      <c r="F9" t="s">
        <v>389</v>
      </c>
      <c r="G9" s="14" t="s">
        <v>843</v>
      </c>
      <c r="H9" s="14" t="str">
        <f t="shared" si="0"/>
        <v>009_AUT.pdf</v>
      </c>
      <c r="I9" s="14" t="s">
        <v>843</v>
      </c>
      <c r="J9" t="s">
        <v>1115</v>
      </c>
      <c r="K9">
        <v>2021</v>
      </c>
      <c r="L9" t="s">
        <v>1125</v>
      </c>
      <c r="M9" t="s">
        <v>1129</v>
      </c>
      <c r="N9">
        <f t="shared" si="1"/>
        <v>2020</v>
      </c>
      <c r="O9">
        <v>2020</v>
      </c>
      <c r="P9">
        <v>2026</v>
      </c>
      <c r="Q9">
        <v>6</v>
      </c>
    </row>
    <row r="10" spans="1:17" x14ac:dyDescent="0.2">
      <c r="A10" s="4" t="s">
        <v>652</v>
      </c>
      <c r="B10" t="s">
        <v>18</v>
      </c>
      <c r="C10" t="s">
        <v>19</v>
      </c>
      <c r="D10" t="s">
        <v>504</v>
      </c>
      <c r="E10" s="13">
        <v>45350</v>
      </c>
      <c r="F10" t="s">
        <v>389</v>
      </c>
      <c r="G10" s="14" t="s">
        <v>620</v>
      </c>
      <c r="H10" s="14" t="str">
        <f t="shared" si="0"/>
        <v>010_DNK.pdf</v>
      </c>
      <c r="I10" s="14" t="s">
        <v>620</v>
      </c>
      <c r="J10" t="s">
        <v>1115</v>
      </c>
      <c r="K10">
        <v>2022</v>
      </c>
      <c r="L10">
        <v>2030</v>
      </c>
      <c r="M10" t="s">
        <v>1129</v>
      </c>
      <c r="N10">
        <f t="shared" si="1"/>
        <v>2030</v>
      </c>
      <c r="O10">
        <v>2022</v>
      </c>
      <c r="P10">
        <v>2030</v>
      </c>
      <c r="Q10">
        <v>8</v>
      </c>
    </row>
    <row r="11" spans="1:17" x14ac:dyDescent="0.2">
      <c r="A11" s="4" t="s">
        <v>653</v>
      </c>
      <c r="B11" t="s">
        <v>20</v>
      </c>
      <c r="C11" t="s">
        <v>21</v>
      </c>
      <c r="D11" s="2" t="s">
        <v>505</v>
      </c>
      <c r="E11" s="13">
        <v>45350</v>
      </c>
      <c r="F11" t="s">
        <v>389</v>
      </c>
      <c r="G11" s="14" t="s">
        <v>620</v>
      </c>
      <c r="H11" s="14" t="str">
        <f t="shared" si="0"/>
        <v>011_ITA.pdf</v>
      </c>
      <c r="I11" s="14" t="s">
        <v>620</v>
      </c>
      <c r="J11" t="s">
        <v>1115</v>
      </c>
      <c r="K11">
        <v>2017</v>
      </c>
      <c r="L11">
        <v>2030</v>
      </c>
      <c r="M11" t="s">
        <v>1129</v>
      </c>
      <c r="N11">
        <f t="shared" si="1"/>
        <v>2030</v>
      </c>
      <c r="O11">
        <v>2017</v>
      </c>
      <c r="P11">
        <v>2030</v>
      </c>
      <c r="Q11">
        <v>13</v>
      </c>
    </row>
    <row r="12" spans="1:17" x14ac:dyDescent="0.2">
      <c r="A12" s="4" t="s">
        <v>654</v>
      </c>
      <c r="B12" t="s">
        <v>22</v>
      </c>
      <c r="C12" t="s">
        <v>23</v>
      </c>
      <c r="D12" t="s">
        <v>506</v>
      </c>
      <c r="E12" s="13">
        <v>45350</v>
      </c>
      <c r="F12" t="s">
        <v>389</v>
      </c>
      <c r="G12" s="14" t="s">
        <v>622</v>
      </c>
      <c r="H12" s="14" t="str">
        <f t="shared" si="0"/>
        <v>012_PRT.pdf</v>
      </c>
      <c r="I12" s="14" t="s">
        <v>622</v>
      </c>
      <c r="J12" t="s">
        <v>1115</v>
      </c>
      <c r="K12">
        <v>2020</v>
      </c>
      <c r="L12" t="s">
        <v>1126</v>
      </c>
      <c r="M12" t="s">
        <v>1129</v>
      </c>
      <c r="N12">
        <f t="shared" si="1"/>
        <v>2021</v>
      </c>
      <c r="O12">
        <v>2020</v>
      </c>
      <c r="P12">
        <v>2027</v>
      </c>
      <c r="Q12">
        <v>7</v>
      </c>
    </row>
    <row r="13" spans="1:17" x14ac:dyDescent="0.2">
      <c r="A13" s="4" t="s">
        <v>655</v>
      </c>
      <c r="B13" t="s">
        <v>24</v>
      </c>
      <c r="C13" t="s">
        <v>25</v>
      </c>
      <c r="D13" t="s">
        <v>507</v>
      </c>
      <c r="E13" s="13">
        <v>45350</v>
      </c>
      <c r="F13" t="s">
        <v>389</v>
      </c>
      <c r="G13" s="14" t="s">
        <v>620</v>
      </c>
      <c r="H13" s="14" t="str">
        <f t="shared" si="0"/>
        <v>013_ESP.pdf</v>
      </c>
      <c r="I13" s="14" t="s">
        <v>620</v>
      </c>
      <c r="J13" t="s">
        <v>1115</v>
      </c>
      <c r="L13">
        <v>2050</v>
      </c>
      <c r="M13" t="s">
        <v>1130</v>
      </c>
      <c r="N13">
        <f t="shared" si="1"/>
        <v>2050</v>
      </c>
      <c r="P13">
        <v>2050</v>
      </c>
    </row>
    <row r="14" spans="1:17" x14ac:dyDescent="0.2">
      <c r="A14" s="4" t="s">
        <v>656</v>
      </c>
      <c r="B14" t="s">
        <v>26</v>
      </c>
      <c r="C14" t="s">
        <v>27</v>
      </c>
      <c r="D14" s="2" t="s">
        <v>467</v>
      </c>
      <c r="E14" s="13">
        <v>45385</v>
      </c>
      <c r="F14" t="s">
        <v>389</v>
      </c>
      <c r="G14" s="14" t="s">
        <v>620</v>
      </c>
      <c r="H14" s="14" t="str">
        <f t="shared" si="0"/>
        <v>014_JPN.pdf</v>
      </c>
      <c r="I14" s="14" t="s">
        <v>620</v>
      </c>
      <c r="J14" t="s">
        <v>1115</v>
      </c>
      <c r="K14">
        <v>1998</v>
      </c>
      <c r="M14" t="s">
        <v>1130</v>
      </c>
      <c r="O14">
        <v>1998</v>
      </c>
    </row>
    <row r="15" spans="1:17" x14ac:dyDescent="0.2">
      <c r="A15" s="4" t="s">
        <v>657</v>
      </c>
      <c r="B15" t="s">
        <v>28</v>
      </c>
      <c r="C15" t="s">
        <v>29</v>
      </c>
      <c r="D15" s="2" t="s">
        <v>508</v>
      </c>
      <c r="E15" s="13">
        <v>45350</v>
      </c>
      <c r="F15" t="s">
        <v>389</v>
      </c>
      <c r="G15" s="14" t="s">
        <v>620</v>
      </c>
      <c r="H15" s="14" t="str">
        <f t="shared" si="0"/>
        <v>015_DEU.pdf</v>
      </c>
      <c r="I15" s="14" t="s">
        <v>620</v>
      </c>
      <c r="J15" t="s">
        <v>1115</v>
      </c>
      <c r="K15">
        <v>2016</v>
      </c>
      <c r="L15">
        <v>2030</v>
      </c>
      <c r="M15" t="s">
        <v>1129</v>
      </c>
      <c r="N15">
        <f t="shared" si="1"/>
        <v>2030</v>
      </c>
      <c r="O15">
        <v>2016</v>
      </c>
      <c r="P15">
        <v>2030</v>
      </c>
      <c r="Q15">
        <v>14</v>
      </c>
    </row>
    <row r="16" spans="1:17" x14ac:dyDescent="0.2">
      <c r="A16" s="4" t="s">
        <v>658</v>
      </c>
      <c r="B16" t="s">
        <v>30</v>
      </c>
      <c r="C16" t="s">
        <v>31</v>
      </c>
      <c r="D16" t="s">
        <v>509</v>
      </c>
      <c r="E16" s="13">
        <v>45350</v>
      </c>
      <c r="F16" t="s">
        <v>389</v>
      </c>
      <c r="G16" s="14" t="s">
        <v>623</v>
      </c>
      <c r="H16" s="14" t="str">
        <f t="shared" si="0"/>
        <v>016_BEL.pdf</v>
      </c>
      <c r="I16" s="14" t="s">
        <v>623</v>
      </c>
      <c r="J16" t="s">
        <v>1115</v>
      </c>
      <c r="K16">
        <v>2021</v>
      </c>
      <c r="L16">
        <v>2030</v>
      </c>
      <c r="M16" t="s">
        <v>1129</v>
      </c>
      <c r="N16">
        <f t="shared" si="1"/>
        <v>2030</v>
      </c>
      <c r="O16">
        <v>2021</v>
      </c>
      <c r="P16">
        <v>2030</v>
      </c>
      <c r="Q16">
        <v>9</v>
      </c>
    </row>
    <row r="17" spans="1:17" x14ac:dyDescent="0.2">
      <c r="A17" s="4" t="s">
        <v>659</v>
      </c>
      <c r="B17" t="s">
        <v>32</v>
      </c>
      <c r="C17" t="s">
        <v>33</v>
      </c>
      <c r="D17" t="s">
        <v>512</v>
      </c>
      <c r="E17" s="13">
        <v>45350</v>
      </c>
      <c r="F17" t="s">
        <v>389</v>
      </c>
      <c r="G17" s="14" t="s">
        <v>620</v>
      </c>
      <c r="H17" s="14" t="str">
        <f t="shared" si="0"/>
        <v>017_CAN.pdf</v>
      </c>
      <c r="I17" s="14" t="s">
        <v>620</v>
      </c>
      <c r="J17" t="s">
        <v>1115</v>
      </c>
      <c r="K17">
        <v>2021</v>
      </c>
      <c r="L17">
        <v>2030</v>
      </c>
      <c r="M17" t="s">
        <v>1129</v>
      </c>
      <c r="N17">
        <f t="shared" si="1"/>
        <v>2030</v>
      </c>
      <c r="O17">
        <v>2021</v>
      </c>
      <c r="P17">
        <v>2030</v>
      </c>
      <c r="Q17">
        <v>9</v>
      </c>
    </row>
    <row r="18" spans="1:17" x14ac:dyDescent="0.2">
      <c r="A18" s="4" t="s">
        <v>660</v>
      </c>
      <c r="B18" t="s">
        <v>34</v>
      </c>
      <c r="C18" t="s">
        <v>35</v>
      </c>
      <c r="D18" t="s">
        <v>513</v>
      </c>
      <c r="E18" s="13">
        <v>45350</v>
      </c>
      <c r="F18" t="s">
        <v>389</v>
      </c>
      <c r="G18" s="14" t="s">
        <v>620</v>
      </c>
      <c r="H18" s="14" t="str">
        <f t="shared" si="0"/>
        <v>018_GRC.pdf</v>
      </c>
      <c r="I18" s="14" t="s">
        <v>620</v>
      </c>
      <c r="J18" t="s">
        <v>1115</v>
      </c>
      <c r="K18">
        <v>2018</v>
      </c>
      <c r="O18">
        <v>2018</v>
      </c>
    </row>
    <row r="19" spans="1:17" x14ac:dyDescent="0.2">
      <c r="A19" s="4" t="s">
        <v>661</v>
      </c>
      <c r="B19" t="s">
        <v>36</v>
      </c>
      <c r="C19" t="s">
        <v>37</v>
      </c>
      <c r="D19" s="2" t="s">
        <v>420</v>
      </c>
      <c r="E19" s="13">
        <v>45350</v>
      </c>
      <c r="F19" t="s">
        <v>389</v>
      </c>
      <c r="G19" s="14" t="s">
        <v>624</v>
      </c>
      <c r="H19" s="14" t="str">
        <f t="shared" si="0"/>
        <v>019_MEX.pdf</v>
      </c>
      <c r="I19" s="14" t="s">
        <v>624</v>
      </c>
      <c r="J19" t="s">
        <v>1115</v>
      </c>
      <c r="K19">
        <v>2019</v>
      </c>
      <c r="L19" t="s">
        <v>1131</v>
      </c>
      <c r="M19" t="s">
        <v>1129</v>
      </c>
      <c r="N19">
        <f t="shared" si="1"/>
        <v>2019</v>
      </c>
      <c r="O19">
        <v>2019</v>
      </c>
      <c r="P19">
        <v>2014</v>
      </c>
      <c r="Q19">
        <v>-5</v>
      </c>
    </row>
    <row r="20" spans="1:17" x14ac:dyDescent="0.2">
      <c r="A20" s="4" t="s">
        <v>662</v>
      </c>
      <c r="B20" t="s">
        <v>38</v>
      </c>
      <c r="C20" t="s">
        <v>39</v>
      </c>
      <c r="D20" s="2" t="s">
        <v>400</v>
      </c>
      <c r="E20" s="13">
        <v>45397</v>
      </c>
      <c r="F20" t="s">
        <v>389</v>
      </c>
      <c r="G20" s="14" t="s">
        <v>624</v>
      </c>
      <c r="H20" s="14" t="str">
        <f t="shared" si="0"/>
        <v>020_COL.pdf</v>
      </c>
      <c r="I20" s="14" t="s">
        <v>624</v>
      </c>
      <c r="J20" t="s">
        <v>1115</v>
      </c>
      <c r="K20">
        <v>2023</v>
      </c>
      <c r="L20" t="s">
        <v>1132</v>
      </c>
      <c r="M20" t="s">
        <v>1129</v>
      </c>
      <c r="N20">
        <f t="shared" si="1"/>
        <v>2022</v>
      </c>
      <c r="O20">
        <v>2022</v>
      </c>
      <c r="P20">
        <v>2026</v>
      </c>
      <c r="Q20">
        <v>4</v>
      </c>
    </row>
    <row r="21" spans="1:17" x14ac:dyDescent="0.2">
      <c r="A21" s="4" t="s">
        <v>663</v>
      </c>
      <c r="B21" t="s">
        <v>40</v>
      </c>
      <c r="C21" t="s">
        <v>41</v>
      </c>
      <c r="D21" s="2" t="s">
        <v>398</v>
      </c>
      <c r="E21" s="13">
        <v>45350</v>
      </c>
      <c r="F21" t="s">
        <v>389</v>
      </c>
      <c r="G21" s="14" t="s">
        <v>620</v>
      </c>
      <c r="H21" s="14" t="str">
        <f t="shared" si="0"/>
        <v>021_IRL.pdf</v>
      </c>
      <c r="I21" s="14" t="s">
        <v>620</v>
      </c>
      <c r="J21" t="s">
        <v>1115</v>
      </c>
      <c r="K21">
        <v>2021</v>
      </c>
      <c r="L21" t="s">
        <v>1133</v>
      </c>
      <c r="M21" t="s">
        <v>1129</v>
      </c>
      <c r="N21">
        <f t="shared" si="1"/>
        <v>2021</v>
      </c>
      <c r="O21">
        <v>2021</v>
      </c>
      <c r="P21">
        <v>2030</v>
      </c>
      <c r="Q21">
        <v>9</v>
      </c>
    </row>
    <row r="22" spans="1:17" x14ac:dyDescent="0.2">
      <c r="A22" s="4" t="s">
        <v>664</v>
      </c>
      <c r="B22" t="s">
        <v>42</v>
      </c>
      <c r="C22" t="s">
        <v>43</v>
      </c>
      <c r="D22" t="s">
        <v>514</v>
      </c>
      <c r="E22" s="13">
        <v>45350</v>
      </c>
      <c r="F22" t="s">
        <v>389</v>
      </c>
      <c r="G22" s="14" t="s">
        <v>620</v>
      </c>
      <c r="H22" s="14" t="str">
        <f t="shared" si="0"/>
        <v>022_SVN.pdf</v>
      </c>
      <c r="I22" s="14" t="s">
        <v>620</v>
      </c>
      <c r="J22" t="s">
        <v>1115</v>
      </c>
      <c r="K22">
        <v>2017</v>
      </c>
      <c r="L22">
        <v>2030</v>
      </c>
      <c r="M22" t="s">
        <v>1129</v>
      </c>
      <c r="N22">
        <f t="shared" si="1"/>
        <v>2030</v>
      </c>
      <c r="O22">
        <v>2017</v>
      </c>
      <c r="P22">
        <v>2030</v>
      </c>
      <c r="Q22">
        <v>13</v>
      </c>
    </row>
    <row r="23" spans="1:17" x14ac:dyDescent="0.2">
      <c r="A23" s="4" t="s">
        <v>665</v>
      </c>
      <c r="B23" t="s">
        <v>44</v>
      </c>
      <c r="C23" t="s">
        <v>45</v>
      </c>
      <c r="D23" t="s">
        <v>484</v>
      </c>
      <c r="E23" s="13">
        <v>45350</v>
      </c>
      <c r="F23" t="s">
        <v>389</v>
      </c>
      <c r="G23" s="14" t="s">
        <v>620</v>
      </c>
      <c r="H23" s="14" t="str">
        <f t="shared" si="0"/>
        <v>023_GHA.pdf</v>
      </c>
      <c r="I23" s="14" t="s">
        <v>620</v>
      </c>
      <c r="J23" t="s">
        <v>1115</v>
      </c>
      <c r="K23">
        <v>2022</v>
      </c>
      <c r="L23" t="s">
        <v>1134</v>
      </c>
      <c r="M23" t="s">
        <v>1129</v>
      </c>
      <c r="N23">
        <f t="shared" si="1"/>
        <v>2022</v>
      </c>
      <c r="O23">
        <v>2022</v>
      </c>
      <c r="P23">
        <v>2025</v>
      </c>
      <c r="Q23">
        <v>3</v>
      </c>
    </row>
    <row r="24" spans="1:17" x14ac:dyDescent="0.2">
      <c r="A24" s="4" t="s">
        <v>666</v>
      </c>
      <c r="B24" t="s">
        <v>46</v>
      </c>
      <c r="C24" t="s">
        <v>47</v>
      </c>
      <c r="D24" t="s">
        <v>515</v>
      </c>
      <c r="E24" s="13">
        <v>45350</v>
      </c>
      <c r="F24" t="s">
        <v>389</v>
      </c>
      <c r="G24" s="14" t="s">
        <v>620</v>
      </c>
      <c r="H24" s="14" t="str">
        <f t="shared" si="0"/>
        <v>024_CYP.pdf</v>
      </c>
      <c r="I24" s="14" t="s">
        <v>620</v>
      </c>
      <c r="J24" t="s">
        <v>1115</v>
      </c>
      <c r="K24">
        <v>2022</v>
      </c>
      <c r="M24" t="s">
        <v>1130</v>
      </c>
      <c r="O24">
        <v>2022</v>
      </c>
    </row>
    <row r="25" spans="1:17" x14ac:dyDescent="0.2">
      <c r="A25" s="4" t="s">
        <v>667</v>
      </c>
      <c r="B25" t="s">
        <v>48</v>
      </c>
      <c r="C25" t="s">
        <v>49</v>
      </c>
      <c r="D25" s="2" t="s">
        <v>406</v>
      </c>
      <c r="E25" s="13">
        <v>45350</v>
      </c>
      <c r="F25" t="s">
        <v>389</v>
      </c>
      <c r="G25" s="14" t="s">
        <v>624</v>
      </c>
      <c r="H25" s="14" t="str">
        <f t="shared" si="0"/>
        <v>025_CHL.pdf</v>
      </c>
      <c r="I25" s="14" t="s">
        <v>624</v>
      </c>
      <c r="J25" t="s">
        <v>1115</v>
      </c>
      <c r="K25">
        <v>2022</v>
      </c>
      <c r="L25" t="s">
        <v>1132</v>
      </c>
      <c r="M25" t="s">
        <v>1129</v>
      </c>
      <c r="N25">
        <f t="shared" si="1"/>
        <v>2022</v>
      </c>
      <c r="O25">
        <v>2022</v>
      </c>
      <c r="P25">
        <v>2026</v>
      </c>
      <c r="Q25">
        <v>4</v>
      </c>
    </row>
    <row r="26" spans="1:17" x14ac:dyDescent="0.2">
      <c r="A26" s="4" t="s">
        <v>668</v>
      </c>
      <c r="B26" t="s">
        <v>50</v>
      </c>
      <c r="C26" t="s">
        <v>51</v>
      </c>
      <c r="D26" s="2" t="s">
        <v>476</v>
      </c>
      <c r="E26" s="13">
        <v>45350</v>
      </c>
      <c r="F26" t="s">
        <v>389</v>
      </c>
      <c r="G26" s="14" t="s">
        <v>620</v>
      </c>
      <c r="H26" s="14" t="str">
        <f t="shared" si="0"/>
        <v>026_THA.pdf</v>
      </c>
      <c r="I26" s="14" t="s">
        <v>620</v>
      </c>
      <c r="J26" t="s">
        <v>1115</v>
      </c>
      <c r="K26">
        <v>2023</v>
      </c>
      <c r="L26" t="s">
        <v>1135</v>
      </c>
      <c r="M26" t="s">
        <v>1129</v>
      </c>
      <c r="N26">
        <f t="shared" si="1"/>
        <v>2023</v>
      </c>
      <c r="O26">
        <v>2023</v>
      </c>
      <c r="P26">
        <v>2027</v>
      </c>
      <c r="Q26">
        <v>4</v>
      </c>
    </row>
    <row r="27" spans="1:17" x14ac:dyDescent="0.2">
      <c r="A27" s="4" t="s">
        <v>669</v>
      </c>
      <c r="B27" t="s">
        <v>52</v>
      </c>
      <c r="C27" t="s">
        <v>53</v>
      </c>
      <c r="D27" t="s">
        <v>516</v>
      </c>
      <c r="E27" s="13">
        <v>45350</v>
      </c>
      <c r="F27" t="s">
        <v>389</v>
      </c>
      <c r="G27" s="14" t="s">
        <v>620</v>
      </c>
      <c r="H27" s="14" t="str">
        <f t="shared" si="0"/>
        <v>027_CZE.pdf</v>
      </c>
      <c r="I27" s="14" t="s">
        <v>620</v>
      </c>
      <c r="J27" t="s">
        <v>1115</v>
      </c>
      <c r="K27">
        <v>2017</v>
      </c>
      <c r="L27">
        <v>2030</v>
      </c>
      <c r="M27" t="s">
        <v>1129</v>
      </c>
      <c r="N27">
        <f t="shared" si="1"/>
        <v>2030</v>
      </c>
      <c r="O27">
        <v>2017</v>
      </c>
      <c r="P27">
        <v>2030</v>
      </c>
      <c r="Q27">
        <v>13</v>
      </c>
    </row>
    <row r="28" spans="1:17" x14ac:dyDescent="0.2">
      <c r="A28" s="4" t="s">
        <v>670</v>
      </c>
      <c r="B28" t="s">
        <v>54</v>
      </c>
      <c r="C28" t="s">
        <v>55</v>
      </c>
      <c r="D28" s="2" t="s">
        <v>443</v>
      </c>
      <c r="E28" s="13">
        <v>45350</v>
      </c>
      <c r="F28" t="s">
        <v>389</v>
      </c>
      <c r="G28" s="14" t="s">
        <v>620</v>
      </c>
      <c r="H28" s="14" t="str">
        <f t="shared" si="0"/>
        <v>028_EGY.pdf</v>
      </c>
      <c r="I28" s="14" t="s">
        <v>620</v>
      </c>
      <c r="J28" t="s">
        <v>1115</v>
      </c>
      <c r="L28">
        <v>2030</v>
      </c>
      <c r="M28" t="s">
        <v>1129</v>
      </c>
      <c r="N28">
        <f t="shared" si="1"/>
        <v>2030</v>
      </c>
      <c r="P28">
        <v>2030</v>
      </c>
    </row>
    <row r="29" spans="1:17" x14ac:dyDescent="0.2">
      <c r="A29" s="4" t="s">
        <v>671</v>
      </c>
      <c r="B29" t="s">
        <v>56</v>
      </c>
      <c r="C29" t="s">
        <v>57</v>
      </c>
      <c r="D29" t="s">
        <v>517</v>
      </c>
      <c r="E29" s="13">
        <v>45350</v>
      </c>
      <c r="F29" t="s">
        <v>389</v>
      </c>
      <c r="G29" s="14" t="s">
        <v>620</v>
      </c>
      <c r="H29" s="14" t="str">
        <f t="shared" si="0"/>
        <v>029_ROU.pdf</v>
      </c>
      <c r="I29" s="14" t="s">
        <v>620</v>
      </c>
      <c r="J29" t="s">
        <v>1115</v>
      </c>
      <c r="K29">
        <v>2018</v>
      </c>
      <c r="L29">
        <v>2030</v>
      </c>
      <c r="M29" t="s">
        <v>1129</v>
      </c>
      <c r="N29">
        <f t="shared" si="1"/>
        <v>2030</v>
      </c>
      <c r="O29">
        <v>2018</v>
      </c>
      <c r="P29">
        <v>2030</v>
      </c>
      <c r="Q29">
        <v>12</v>
      </c>
    </row>
    <row r="30" spans="1:17" x14ac:dyDescent="0.2">
      <c r="A30" s="4" t="s">
        <v>672</v>
      </c>
      <c r="B30" t="s">
        <v>58</v>
      </c>
      <c r="C30" t="s">
        <v>59</v>
      </c>
      <c r="D30" s="2" t="s">
        <v>518</v>
      </c>
      <c r="E30" s="13">
        <v>45651</v>
      </c>
      <c r="F30" t="s">
        <v>389</v>
      </c>
      <c r="G30" s="14" t="s">
        <v>621</v>
      </c>
      <c r="H30" s="14" t="str">
        <f t="shared" si="0"/>
        <v>030_SEN.pdf</v>
      </c>
      <c r="I30" s="14" t="s">
        <v>621</v>
      </c>
      <c r="J30" t="s">
        <v>1116</v>
      </c>
      <c r="K30">
        <v>2019</v>
      </c>
      <c r="L30" t="s">
        <v>1136</v>
      </c>
      <c r="M30" t="s">
        <v>1129</v>
      </c>
      <c r="N30">
        <f t="shared" si="1"/>
        <v>2019</v>
      </c>
      <c r="O30">
        <v>2019</v>
      </c>
      <c r="P30">
        <v>2023</v>
      </c>
      <c r="Q30">
        <v>4</v>
      </c>
    </row>
    <row r="31" spans="1:17" x14ac:dyDescent="0.2">
      <c r="A31" s="4" t="s">
        <v>673</v>
      </c>
      <c r="B31" t="s">
        <v>60</v>
      </c>
      <c r="C31" t="s">
        <v>61</v>
      </c>
      <c r="D31" t="s">
        <v>474</v>
      </c>
      <c r="E31" s="13">
        <v>45350</v>
      </c>
      <c r="F31" t="s">
        <v>389</v>
      </c>
      <c r="G31" s="14" t="s">
        <v>620</v>
      </c>
      <c r="H31" s="14" t="str">
        <f t="shared" si="0"/>
        <v>031_NGA.pdf</v>
      </c>
      <c r="I31" s="14" t="s">
        <v>620</v>
      </c>
      <c r="J31" t="s">
        <v>1115</v>
      </c>
      <c r="K31">
        <v>2021</v>
      </c>
      <c r="L31" t="s">
        <v>1137</v>
      </c>
      <c r="M31" t="s">
        <v>1129</v>
      </c>
      <c r="N31">
        <f t="shared" si="1"/>
        <v>2021</v>
      </c>
      <c r="O31">
        <v>2021</v>
      </c>
      <c r="P31">
        <v>2025</v>
      </c>
      <c r="Q31">
        <v>4</v>
      </c>
    </row>
    <row r="32" spans="1:17" x14ac:dyDescent="0.2">
      <c r="A32" s="4" t="s">
        <v>674</v>
      </c>
      <c r="B32" t="s">
        <v>62</v>
      </c>
      <c r="C32" t="s">
        <v>63</v>
      </c>
      <c r="D32" t="s">
        <v>844</v>
      </c>
      <c r="E32" s="13">
        <v>45380</v>
      </c>
      <c r="F32" t="s">
        <v>389</v>
      </c>
      <c r="G32" s="14" t="s">
        <v>621</v>
      </c>
      <c r="H32" s="14" t="str">
        <f t="shared" si="0"/>
        <v>032_FRA.pdf</v>
      </c>
      <c r="I32" s="14" t="s">
        <v>621</v>
      </c>
      <c r="J32" t="s">
        <v>1115</v>
      </c>
      <c r="K32">
        <v>2023</v>
      </c>
      <c r="M32" t="s">
        <v>1129</v>
      </c>
      <c r="O32">
        <v>2023</v>
      </c>
    </row>
    <row r="33" spans="1:17" x14ac:dyDescent="0.2">
      <c r="A33" s="4" t="s">
        <v>675</v>
      </c>
      <c r="B33" t="s">
        <v>64</v>
      </c>
      <c r="C33" t="s">
        <v>65</v>
      </c>
      <c r="D33" s="2" t="s">
        <v>432</v>
      </c>
      <c r="E33" s="13">
        <v>45350</v>
      </c>
      <c r="F33" t="s">
        <v>389</v>
      </c>
      <c r="G33" s="14" t="s">
        <v>620</v>
      </c>
      <c r="H33" s="14" t="str">
        <f t="shared" si="0"/>
        <v>033_BRB.pdf</v>
      </c>
      <c r="I33" s="14" t="s">
        <v>620</v>
      </c>
      <c r="J33" t="s">
        <v>1115</v>
      </c>
      <c r="K33">
        <v>2013</v>
      </c>
      <c r="L33" t="s">
        <v>1138</v>
      </c>
      <c r="M33" t="s">
        <v>1129</v>
      </c>
      <c r="N33">
        <f t="shared" si="1"/>
        <v>2013</v>
      </c>
      <c r="O33">
        <v>2013</v>
      </c>
      <c r="P33">
        <v>2020</v>
      </c>
      <c r="Q33">
        <v>7</v>
      </c>
    </row>
    <row r="34" spans="1:17" x14ac:dyDescent="0.2">
      <c r="A34" s="4" t="s">
        <v>676</v>
      </c>
      <c r="B34" t="s">
        <v>66</v>
      </c>
      <c r="C34" t="s">
        <v>67</v>
      </c>
      <c r="D34" t="s">
        <v>520</v>
      </c>
      <c r="E34" s="13">
        <v>45393</v>
      </c>
      <c r="F34" t="s">
        <v>389</v>
      </c>
      <c r="G34" s="14" t="s">
        <v>620</v>
      </c>
      <c r="H34" s="14" t="str">
        <f t="shared" si="0"/>
        <v>034_KEN.pdf</v>
      </c>
      <c r="I34" s="14" t="s">
        <v>620</v>
      </c>
      <c r="J34" t="s">
        <v>1115</v>
      </c>
      <c r="K34">
        <v>2023</v>
      </c>
      <c r="L34" t="s">
        <v>1135</v>
      </c>
      <c r="M34" t="s">
        <v>1129</v>
      </c>
      <c r="N34">
        <f t="shared" si="1"/>
        <v>2023</v>
      </c>
      <c r="O34">
        <v>2023</v>
      </c>
      <c r="P34">
        <v>2027</v>
      </c>
      <c r="Q34">
        <v>4</v>
      </c>
    </row>
    <row r="35" spans="1:17" x14ac:dyDescent="0.2">
      <c r="A35" s="4" t="s">
        <v>677</v>
      </c>
      <c r="B35" t="s">
        <v>68</v>
      </c>
      <c r="C35" t="s">
        <v>69</v>
      </c>
      <c r="D35" t="s">
        <v>489</v>
      </c>
      <c r="E35" s="13">
        <v>45350</v>
      </c>
      <c r="F35" t="s">
        <v>389</v>
      </c>
      <c r="G35" s="14" t="s">
        <v>620</v>
      </c>
      <c r="H35" s="14" t="str">
        <f t="shared" si="0"/>
        <v>035_PHL.pdf</v>
      </c>
      <c r="I35" s="14" t="s">
        <v>620</v>
      </c>
      <c r="J35" t="s">
        <v>1115</v>
      </c>
      <c r="K35">
        <v>2023</v>
      </c>
      <c r="L35" t="s">
        <v>1139</v>
      </c>
      <c r="M35" t="s">
        <v>1129</v>
      </c>
      <c r="N35">
        <f t="shared" si="1"/>
        <v>2023</v>
      </c>
      <c r="O35">
        <v>2023</v>
      </c>
      <c r="P35">
        <v>2028</v>
      </c>
      <c r="Q35">
        <v>5</v>
      </c>
    </row>
    <row r="36" spans="1:17" x14ac:dyDescent="0.2">
      <c r="A36" s="4" t="s">
        <v>678</v>
      </c>
      <c r="B36" t="s">
        <v>70</v>
      </c>
      <c r="C36" t="s">
        <v>71</v>
      </c>
      <c r="D36" t="s">
        <v>409</v>
      </c>
      <c r="E36" s="13">
        <v>45397</v>
      </c>
      <c r="F36" t="s">
        <v>389</v>
      </c>
      <c r="G36" s="14" t="s">
        <v>624</v>
      </c>
      <c r="H36" s="14" t="str">
        <f t="shared" si="0"/>
        <v>036_ECU.pdf</v>
      </c>
      <c r="I36" s="14" t="s">
        <v>624</v>
      </c>
      <c r="J36" t="s">
        <v>1115</v>
      </c>
      <c r="K36">
        <v>2017</v>
      </c>
      <c r="L36" t="s">
        <v>1140</v>
      </c>
      <c r="M36" t="s">
        <v>1129</v>
      </c>
      <c r="N36">
        <f t="shared" si="1"/>
        <v>2017</v>
      </c>
      <c r="O36">
        <v>2017</v>
      </c>
      <c r="P36">
        <v>2021</v>
      </c>
      <c r="Q36">
        <v>4</v>
      </c>
    </row>
    <row r="37" spans="1:17" x14ac:dyDescent="0.2">
      <c r="A37" s="4" t="s">
        <v>679</v>
      </c>
      <c r="B37" t="s">
        <v>72</v>
      </c>
      <c r="C37" t="s">
        <v>73</v>
      </c>
      <c r="D37" t="s">
        <v>471</v>
      </c>
      <c r="E37" s="13">
        <v>45350</v>
      </c>
      <c r="F37" t="s">
        <v>389</v>
      </c>
      <c r="G37" s="14" t="s">
        <v>620</v>
      </c>
      <c r="H37" s="14" t="str">
        <f t="shared" si="0"/>
        <v>037_MYS.pdf</v>
      </c>
      <c r="I37" s="14" t="s">
        <v>620</v>
      </c>
      <c r="J37" t="s">
        <v>1115</v>
      </c>
      <c r="K37">
        <v>2021</v>
      </c>
      <c r="L37" t="s">
        <v>1137</v>
      </c>
      <c r="M37" t="s">
        <v>1129</v>
      </c>
      <c r="N37">
        <f t="shared" si="1"/>
        <v>2021</v>
      </c>
      <c r="O37">
        <v>2021</v>
      </c>
      <c r="P37">
        <v>2025</v>
      </c>
      <c r="Q37">
        <v>4</v>
      </c>
    </row>
    <row r="38" spans="1:17" x14ac:dyDescent="0.2">
      <c r="A38" s="4" t="s">
        <v>680</v>
      </c>
      <c r="B38" t="s">
        <v>74</v>
      </c>
      <c r="C38" t="s">
        <v>75</v>
      </c>
      <c r="D38" s="2" t="s">
        <v>451</v>
      </c>
      <c r="E38" s="13">
        <v>45350</v>
      </c>
      <c r="F38" t="s">
        <v>389</v>
      </c>
      <c r="G38" s="14" t="s">
        <v>620</v>
      </c>
      <c r="H38" s="14" t="str">
        <f t="shared" si="0"/>
        <v>038_SAU.pdf</v>
      </c>
      <c r="I38" s="14" t="s">
        <v>620</v>
      </c>
      <c r="J38" t="s">
        <v>1115</v>
      </c>
      <c r="L38">
        <v>2030</v>
      </c>
      <c r="M38" t="s">
        <v>1129</v>
      </c>
      <c r="N38">
        <f t="shared" si="1"/>
        <v>2030</v>
      </c>
      <c r="P38">
        <v>2030</v>
      </c>
    </row>
    <row r="39" spans="1:17" x14ac:dyDescent="0.2">
      <c r="A39" s="4" t="s">
        <v>681</v>
      </c>
      <c r="B39" t="s">
        <v>76</v>
      </c>
      <c r="C39" t="s">
        <v>77</v>
      </c>
      <c r="D39" t="s">
        <v>478</v>
      </c>
      <c r="E39" s="13">
        <v>45350</v>
      </c>
      <c r="F39" t="s">
        <v>389</v>
      </c>
      <c r="G39" s="14" t="s">
        <v>620</v>
      </c>
      <c r="H39" s="14" t="str">
        <f t="shared" si="0"/>
        <v>039_PAK.pdf</v>
      </c>
      <c r="I39" s="14" t="s">
        <v>620</v>
      </c>
      <c r="J39" t="s">
        <v>1115</v>
      </c>
      <c r="L39">
        <v>2025</v>
      </c>
      <c r="M39" t="s">
        <v>1129</v>
      </c>
      <c r="N39">
        <f t="shared" si="1"/>
        <v>2025</v>
      </c>
      <c r="P39">
        <v>2025</v>
      </c>
    </row>
    <row r="40" spans="1:17" x14ac:dyDescent="0.2">
      <c r="A40" s="4" t="s">
        <v>682</v>
      </c>
      <c r="B40" t="s">
        <v>78</v>
      </c>
      <c r="C40" t="s">
        <v>79</v>
      </c>
      <c r="D40" s="2" t="s">
        <v>427</v>
      </c>
      <c r="E40" s="13">
        <v>45350</v>
      </c>
      <c r="F40" t="s">
        <v>389</v>
      </c>
      <c r="G40" s="14" t="s">
        <v>624</v>
      </c>
      <c r="H40" s="14" t="str">
        <f t="shared" si="0"/>
        <v>040_ARG.pdf</v>
      </c>
      <c r="I40" s="14" t="s">
        <v>624</v>
      </c>
      <c r="J40" t="s">
        <v>1115</v>
      </c>
      <c r="K40">
        <v>2015</v>
      </c>
      <c r="O40">
        <v>2015</v>
      </c>
    </row>
    <row r="41" spans="1:17" x14ac:dyDescent="0.2">
      <c r="A41" s="4" t="s">
        <v>683</v>
      </c>
      <c r="B41" t="s">
        <v>80</v>
      </c>
      <c r="C41" t="s">
        <v>81</v>
      </c>
      <c r="D41" t="s">
        <v>448</v>
      </c>
      <c r="E41" s="13">
        <v>45350</v>
      </c>
      <c r="F41" t="s">
        <v>389</v>
      </c>
      <c r="G41" s="14" t="s">
        <v>621</v>
      </c>
      <c r="H41" s="14" t="str">
        <f t="shared" si="0"/>
        <v>041_MAR.pdf</v>
      </c>
      <c r="I41" s="14" t="s">
        <v>621</v>
      </c>
      <c r="J41" t="s">
        <v>1115</v>
      </c>
      <c r="K41">
        <v>2017</v>
      </c>
      <c r="L41">
        <v>2030</v>
      </c>
      <c r="M41" t="s">
        <v>1129</v>
      </c>
      <c r="N41">
        <f t="shared" si="1"/>
        <v>2030</v>
      </c>
      <c r="O41">
        <v>2017</v>
      </c>
      <c r="P41">
        <v>2030</v>
      </c>
      <c r="Q41">
        <v>13</v>
      </c>
    </row>
    <row r="42" spans="1:17" x14ac:dyDescent="0.2">
      <c r="A42" s="4" t="s">
        <v>684</v>
      </c>
      <c r="B42" t="s">
        <v>82</v>
      </c>
      <c r="C42" t="s">
        <v>83</v>
      </c>
      <c r="D42" t="s">
        <v>521</v>
      </c>
      <c r="E42" s="13">
        <v>45350</v>
      </c>
      <c r="F42" t="s">
        <v>389</v>
      </c>
      <c r="G42" s="14" t="s">
        <v>620</v>
      </c>
      <c r="H42" s="14" t="str">
        <f t="shared" si="0"/>
        <v>042_GEO.pdf</v>
      </c>
      <c r="I42" s="14" t="s">
        <v>620</v>
      </c>
      <c r="J42" t="s">
        <v>1115</v>
      </c>
      <c r="L42">
        <v>2020</v>
      </c>
      <c r="M42" t="s">
        <v>1129</v>
      </c>
      <c r="N42">
        <f t="shared" si="1"/>
        <v>2020</v>
      </c>
      <c r="P42">
        <v>2020</v>
      </c>
    </row>
    <row r="43" spans="1:17" x14ac:dyDescent="0.2">
      <c r="A43" s="4" t="s">
        <v>685</v>
      </c>
      <c r="B43" t="s">
        <v>84</v>
      </c>
      <c r="C43" t="s">
        <v>85</v>
      </c>
      <c r="D43" t="s">
        <v>473</v>
      </c>
      <c r="E43" s="13">
        <v>45350</v>
      </c>
      <c r="F43" t="s">
        <v>389</v>
      </c>
      <c r="G43" s="14" t="s">
        <v>620</v>
      </c>
      <c r="H43" s="14" t="str">
        <f t="shared" si="0"/>
        <v>043_UGA.pdf</v>
      </c>
      <c r="I43" s="14" t="s">
        <v>620</v>
      </c>
      <c r="J43" t="s">
        <v>1115</v>
      </c>
      <c r="K43">
        <v>2020</v>
      </c>
      <c r="L43" t="s">
        <v>1141</v>
      </c>
      <c r="M43" t="s">
        <v>1129</v>
      </c>
      <c r="N43">
        <f t="shared" si="1"/>
        <v>2020</v>
      </c>
      <c r="O43">
        <v>2020</v>
      </c>
      <c r="P43">
        <v>2025</v>
      </c>
      <c r="Q43">
        <v>5</v>
      </c>
    </row>
    <row r="44" spans="1:17" x14ac:dyDescent="0.2">
      <c r="A44" s="4" t="s">
        <v>686</v>
      </c>
      <c r="B44" t="s">
        <v>86</v>
      </c>
      <c r="C44" t="s">
        <v>87</v>
      </c>
      <c r="D44" t="s">
        <v>522</v>
      </c>
      <c r="E44" s="13">
        <v>45350</v>
      </c>
      <c r="F44" t="s">
        <v>389</v>
      </c>
      <c r="G44" s="14" t="s">
        <v>620</v>
      </c>
      <c r="H44" s="14" t="str">
        <f t="shared" si="0"/>
        <v>044_WSM.pdf</v>
      </c>
      <c r="I44" s="14" t="s">
        <v>620</v>
      </c>
      <c r="J44" t="s">
        <v>1115</v>
      </c>
      <c r="K44">
        <v>2021</v>
      </c>
      <c r="L44" t="s">
        <v>1142</v>
      </c>
      <c r="M44" t="s">
        <v>1129</v>
      </c>
      <c r="N44">
        <f t="shared" si="1"/>
        <v>2021</v>
      </c>
      <c r="O44">
        <v>2021</v>
      </c>
      <c r="P44">
        <v>2026</v>
      </c>
      <c r="Q44">
        <v>5</v>
      </c>
    </row>
    <row r="45" spans="1:17" x14ac:dyDescent="0.2">
      <c r="A45" s="4" t="s">
        <v>687</v>
      </c>
      <c r="B45" t="s">
        <v>88</v>
      </c>
      <c r="C45" t="s">
        <v>89</v>
      </c>
      <c r="D45" t="s">
        <v>523</v>
      </c>
      <c r="E45" s="13">
        <v>45350</v>
      </c>
      <c r="F45" t="s">
        <v>389</v>
      </c>
      <c r="G45" s="14" t="s">
        <v>620</v>
      </c>
      <c r="H45" s="14" t="str">
        <f t="shared" si="0"/>
        <v>045_POL.pdf</v>
      </c>
      <c r="I45" s="14" t="s">
        <v>620</v>
      </c>
      <c r="J45" t="s">
        <v>1115</v>
      </c>
      <c r="K45">
        <v>2020</v>
      </c>
      <c r="L45">
        <v>2030</v>
      </c>
      <c r="M45" t="s">
        <v>1129</v>
      </c>
      <c r="N45">
        <f t="shared" si="1"/>
        <v>2030</v>
      </c>
      <c r="O45">
        <v>2020</v>
      </c>
      <c r="P45">
        <v>2030</v>
      </c>
      <c r="Q45">
        <v>10</v>
      </c>
    </row>
    <row r="46" spans="1:17" x14ac:dyDescent="0.2">
      <c r="A46" s="4" t="s">
        <v>688</v>
      </c>
      <c r="B46" t="s">
        <v>90</v>
      </c>
      <c r="C46" t="s">
        <v>91</v>
      </c>
      <c r="D46" t="s">
        <v>524</v>
      </c>
      <c r="E46" s="13">
        <v>45350</v>
      </c>
      <c r="F46" t="s">
        <v>389</v>
      </c>
      <c r="G46" s="14" t="s">
        <v>620</v>
      </c>
      <c r="H46" s="14" t="str">
        <f t="shared" si="0"/>
        <v>046_BGR.pdf</v>
      </c>
      <c r="I46" s="14" t="s">
        <v>620</v>
      </c>
      <c r="J46" t="s">
        <v>1115</v>
      </c>
      <c r="K46">
        <v>2020</v>
      </c>
      <c r="L46">
        <v>2030</v>
      </c>
      <c r="M46" t="s">
        <v>1129</v>
      </c>
      <c r="N46">
        <f t="shared" si="1"/>
        <v>2030</v>
      </c>
      <c r="O46">
        <v>2020</v>
      </c>
      <c r="P46">
        <v>2030</v>
      </c>
      <c r="Q46">
        <v>10</v>
      </c>
    </row>
    <row r="47" spans="1:17" x14ac:dyDescent="0.2">
      <c r="A47" s="4" t="s">
        <v>689</v>
      </c>
      <c r="B47" t="s">
        <v>92</v>
      </c>
      <c r="C47" t="s">
        <v>93</v>
      </c>
      <c r="D47" t="s">
        <v>525</v>
      </c>
      <c r="E47" s="13">
        <v>45350</v>
      </c>
      <c r="F47" t="s">
        <v>389</v>
      </c>
      <c r="G47" s="14" t="s">
        <v>620</v>
      </c>
      <c r="H47" s="14" t="str">
        <f t="shared" si="0"/>
        <v>047_TUR.pdf</v>
      </c>
      <c r="I47" s="14" t="s">
        <v>620</v>
      </c>
      <c r="J47" t="s">
        <v>1115</v>
      </c>
      <c r="K47">
        <v>2019</v>
      </c>
      <c r="L47" t="s">
        <v>1136</v>
      </c>
      <c r="M47" t="s">
        <v>1129</v>
      </c>
      <c r="N47">
        <f t="shared" si="1"/>
        <v>2019</v>
      </c>
      <c r="O47">
        <v>2019</v>
      </c>
      <c r="P47">
        <v>2023</v>
      </c>
      <c r="Q47">
        <v>4</v>
      </c>
    </row>
    <row r="48" spans="1:17" x14ac:dyDescent="0.2">
      <c r="A48" s="4" t="s">
        <v>690</v>
      </c>
      <c r="B48" t="s">
        <v>94</v>
      </c>
      <c r="C48" t="s">
        <v>95</v>
      </c>
      <c r="D48" s="2" t="s">
        <v>411</v>
      </c>
      <c r="E48" s="13">
        <v>45350</v>
      </c>
      <c r="F48" t="s">
        <v>389</v>
      </c>
      <c r="G48" s="14" t="s">
        <v>620</v>
      </c>
      <c r="H48" s="14" t="str">
        <f t="shared" si="0"/>
        <v>048_JAM.pdf</v>
      </c>
      <c r="I48" s="14" t="s">
        <v>620</v>
      </c>
      <c r="J48" t="s">
        <v>1115</v>
      </c>
      <c r="K48">
        <v>2022</v>
      </c>
      <c r="L48" t="s">
        <v>1143</v>
      </c>
      <c r="M48" t="s">
        <v>1129</v>
      </c>
      <c r="N48">
        <f t="shared" si="1"/>
        <v>2021</v>
      </c>
      <c r="O48">
        <v>2021</v>
      </c>
      <c r="P48">
        <v>2024</v>
      </c>
      <c r="Q48">
        <v>3</v>
      </c>
    </row>
    <row r="49" spans="1:17" x14ac:dyDescent="0.2">
      <c r="A49" s="4" t="s">
        <v>691</v>
      </c>
      <c r="B49" t="s">
        <v>96</v>
      </c>
      <c r="C49" t="s">
        <v>97</v>
      </c>
      <c r="D49" s="2" t="s">
        <v>475</v>
      </c>
      <c r="E49" s="13">
        <v>45350</v>
      </c>
      <c r="F49" t="s">
        <v>389</v>
      </c>
      <c r="G49" s="14" t="s">
        <v>620</v>
      </c>
      <c r="H49" s="14" t="str">
        <f t="shared" si="0"/>
        <v>049_KAZ.pdf</v>
      </c>
      <c r="I49" s="14" t="s">
        <v>620</v>
      </c>
      <c r="J49" t="s">
        <v>1115</v>
      </c>
      <c r="K49">
        <v>2015</v>
      </c>
      <c r="L49">
        <v>2050</v>
      </c>
      <c r="M49" t="s">
        <v>1130</v>
      </c>
      <c r="N49">
        <f t="shared" si="1"/>
        <v>2050</v>
      </c>
      <c r="O49">
        <v>2015</v>
      </c>
      <c r="P49">
        <v>2050</v>
      </c>
      <c r="Q49">
        <v>35</v>
      </c>
    </row>
    <row r="50" spans="1:17" x14ac:dyDescent="0.2">
      <c r="A50" s="4" t="s">
        <v>692</v>
      </c>
      <c r="B50" t="s">
        <v>98</v>
      </c>
      <c r="C50" t="s">
        <v>99</v>
      </c>
      <c r="D50" t="s">
        <v>526</v>
      </c>
      <c r="E50" s="13">
        <v>45350</v>
      </c>
      <c r="F50" t="s">
        <v>389</v>
      </c>
      <c r="G50" s="14" t="s">
        <v>620</v>
      </c>
      <c r="H50" s="14" t="str">
        <f t="shared" si="0"/>
        <v>050_BGD.pdf</v>
      </c>
      <c r="I50" s="14" t="s">
        <v>620</v>
      </c>
      <c r="J50" t="s">
        <v>1115</v>
      </c>
      <c r="K50">
        <v>2020</v>
      </c>
      <c r="L50" t="s">
        <v>1141</v>
      </c>
      <c r="M50" t="s">
        <v>1129</v>
      </c>
      <c r="N50">
        <f t="shared" si="1"/>
        <v>2020</v>
      </c>
      <c r="O50">
        <v>2020</v>
      </c>
      <c r="P50">
        <v>2025</v>
      </c>
      <c r="Q50">
        <v>5</v>
      </c>
    </row>
    <row r="51" spans="1:17" x14ac:dyDescent="0.2">
      <c r="A51" s="4" t="s">
        <v>693</v>
      </c>
      <c r="B51" t="s">
        <v>100</v>
      </c>
      <c r="C51" t="s">
        <v>101</v>
      </c>
      <c r="D51" t="s">
        <v>527</v>
      </c>
      <c r="E51" s="13">
        <v>45350</v>
      </c>
      <c r="F51" t="s">
        <v>389</v>
      </c>
      <c r="G51" s="14" t="s">
        <v>627</v>
      </c>
      <c r="H51" s="14" t="str">
        <f t="shared" si="0"/>
        <v>051_CHN.pdf</v>
      </c>
      <c r="I51" s="14" t="s">
        <v>1117</v>
      </c>
      <c r="J51" t="s">
        <v>1115</v>
      </c>
      <c r="K51">
        <v>2021</v>
      </c>
      <c r="L51">
        <v>2035</v>
      </c>
      <c r="M51" t="s">
        <v>1129</v>
      </c>
      <c r="N51">
        <f t="shared" si="1"/>
        <v>2035</v>
      </c>
      <c r="O51">
        <v>2021</v>
      </c>
      <c r="P51">
        <v>2035</v>
      </c>
      <c r="Q51">
        <v>14</v>
      </c>
    </row>
    <row r="52" spans="1:17" x14ac:dyDescent="0.2">
      <c r="A52" s="4" t="s">
        <v>694</v>
      </c>
      <c r="B52" t="s">
        <v>102</v>
      </c>
      <c r="C52" t="s">
        <v>103</v>
      </c>
      <c r="D52" t="s">
        <v>529</v>
      </c>
      <c r="E52" s="13">
        <v>45350</v>
      </c>
      <c r="F52" t="s">
        <v>389</v>
      </c>
      <c r="G52" s="14" t="s">
        <v>620</v>
      </c>
      <c r="H52" s="14" t="str">
        <f t="shared" si="0"/>
        <v>052_SRB.pdf</v>
      </c>
      <c r="I52" s="14" t="s">
        <v>620</v>
      </c>
      <c r="J52" t="s">
        <v>1115</v>
      </c>
      <c r="K52">
        <v>2020</v>
      </c>
      <c r="L52">
        <v>2030</v>
      </c>
      <c r="M52" t="s">
        <v>1129</v>
      </c>
      <c r="N52">
        <f t="shared" si="1"/>
        <v>2030</v>
      </c>
      <c r="O52">
        <v>2020</v>
      </c>
      <c r="P52">
        <v>2030</v>
      </c>
      <c r="Q52">
        <v>10</v>
      </c>
    </row>
    <row r="53" spans="1:17" x14ac:dyDescent="0.2">
      <c r="A53" s="4" t="s">
        <v>695</v>
      </c>
      <c r="B53" t="s">
        <v>104</v>
      </c>
      <c r="C53" t="s">
        <v>105</v>
      </c>
      <c r="D53" t="s">
        <v>530</v>
      </c>
      <c r="E53" s="13">
        <v>45350</v>
      </c>
      <c r="F53" t="s">
        <v>389</v>
      </c>
      <c r="G53" s="14" t="s">
        <v>620</v>
      </c>
      <c r="H53" s="14" t="str">
        <f t="shared" si="0"/>
        <v>053_NZL.pdf</v>
      </c>
      <c r="I53" s="14" t="s">
        <v>620</v>
      </c>
      <c r="J53" t="s">
        <v>1115</v>
      </c>
      <c r="K53">
        <v>2023</v>
      </c>
      <c r="L53" t="s">
        <v>1135</v>
      </c>
      <c r="M53" t="s">
        <v>1129</v>
      </c>
      <c r="N53">
        <f t="shared" si="1"/>
        <v>2023</v>
      </c>
      <c r="O53">
        <v>2023</v>
      </c>
      <c r="P53">
        <v>2027</v>
      </c>
      <c r="Q53">
        <v>4</v>
      </c>
    </row>
    <row r="54" spans="1:17" x14ac:dyDescent="0.2">
      <c r="A54" s="4" t="s">
        <v>696</v>
      </c>
      <c r="B54" t="s">
        <v>106</v>
      </c>
      <c r="C54" t="s">
        <v>107</v>
      </c>
      <c r="D54" t="s">
        <v>531</v>
      </c>
      <c r="E54" s="13">
        <v>45350</v>
      </c>
      <c r="F54" t="s">
        <v>389</v>
      </c>
      <c r="G54" s="14" t="s">
        <v>620</v>
      </c>
      <c r="H54" s="14" t="str">
        <f t="shared" si="0"/>
        <v>054_KOR.pdf</v>
      </c>
      <c r="I54" s="14" t="s">
        <v>620</v>
      </c>
      <c r="J54" t="s">
        <v>1115</v>
      </c>
      <c r="K54">
        <v>2020</v>
      </c>
      <c r="L54">
        <v>2025</v>
      </c>
      <c r="M54" t="s">
        <v>1129</v>
      </c>
      <c r="N54">
        <f t="shared" si="1"/>
        <v>2025</v>
      </c>
      <c r="O54">
        <v>2020</v>
      </c>
      <c r="P54">
        <v>2025</v>
      </c>
      <c r="Q54">
        <v>5</v>
      </c>
    </row>
    <row r="55" spans="1:17" x14ac:dyDescent="0.2">
      <c r="A55" s="4" t="s">
        <v>697</v>
      </c>
      <c r="B55" t="s">
        <v>108</v>
      </c>
      <c r="C55" t="s">
        <v>109</v>
      </c>
      <c r="D55" s="2" t="s">
        <v>394</v>
      </c>
      <c r="E55" s="13">
        <v>45350</v>
      </c>
      <c r="F55" t="s">
        <v>389</v>
      </c>
      <c r="G55" s="14" t="s">
        <v>620</v>
      </c>
      <c r="H55" s="14" t="str">
        <f t="shared" si="0"/>
        <v>055_GBR.pdf</v>
      </c>
      <c r="I55" s="14" t="s">
        <v>620</v>
      </c>
      <c r="J55" t="s">
        <v>1115</v>
      </c>
      <c r="K55">
        <v>2021</v>
      </c>
      <c r="O55">
        <v>2021</v>
      </c>
    </row>
    <row r="56" spans="1:17" x14ac:dyDescent="0.2">
      <c r="A56" s="4" t="s">
        <v>698</v>
      </c>
      <c r="B56" t="s">
        <v>110</v>
      </c>
      <c r="C56" t="s">
        <v>111</v>
      </c>
      <c r="D56" t="s">
        <v>483</v>
      </c>
      <c r="E56" s="13">
        <v>45350</v>
      </c>
      <c r="F56" t="s">
        <v>389</v>
      </c>
      <c r="G56" s="14" t="s">
        <v>620</v>
      </c>
      <c r="H56" s="14" t="str">
        <f t="shared" si="0"/>
        <v>056_SYC.pdf</v>
      </c>
      <c r="I56" s="14" t="s">
        <v>620</v>
      </c>
      <c r="J56" t="s">
        <v>1115</v>
      </c>
      <c r="K56">
        <v>2019</v>
      </c>
      <c r="L56" t="s">
        <v>1136</v>
      </c>
      <c r="M56" t="s">
        <v>1129</v>
      </c>
      <c r="N56">
        <f t="shared" si="1"/>
        <v>2019</v>
      </c>
      <c r="O56">
        <v>2019</v>
      </c>
      <c r="P56">
        <v>2023</v>
      </c>
      <c r="Q56">
        <v>4</v>
      </c>
    </row>
    <row r="57" spans="1:17" x14ac:dyDescent="0.2">
      <c r="A57" s="4" t="s">
        <v>699</v>
      </c>
      <c r="B57" t="s">
        <v>112</v>
      </c>
      <c r="C57" t="s">
        <v>113</v>
      </c>
      <c r="D57" s="2" t="s">
        <v>399</v>
      </c>
      <c r="E57" s="13">
        <v>45350</v>
      </c>
      <c r="F57" t="s">
        <v>389</v>
      </c>
      <c r="G57" s="14" t="s">
        <v>620</v>
      </c>
      <c r="H57" s="14" t="str">
        <f t="shared" si="0"/>
        <v>057_ZAF.pdf</v>
      </c>
      <c r="I57" s="14" t="s">
        <v>620</v>
      </c>
      <c r="J57" t="s">
        <v>1115</v>
      </c>
      <c r="L57">
        <v>2030</v>
      </c>
      <c r="M57" t="s">
        <v>1129</v>
      </c>
      <c r="N57">
        <f t="shared" si="1"/>
        <v>2030</v>
      </c>
      <c r="P57">
        <v>2030</v>
      </c>
    </row>
    <row r="58" spans="1:17" x14ac:dyDescent="0.2">
      <c r="A58" s="4" t="s">
        <v>700</v>
      </c>
      <c r="B58" t="s">
        <v>114</v>
      </c>
      <c r="C58" t="s">
        <v>115</v>
      </c>
      <c r="D58" t="s">
        <v>532</v>
      </c>
      <c r="E58" s="13">
        <v>45350</v>
      </c>
      <c r="F58" t="s">
        <v>389</v>
      </c>
      <c r="G58" s="14" t="s">
        <v>620</v>
      </c>
      <c r="H58" s="14" t="str">
        <f t="shared" si="0"/>
        <v>058_HUN.pdf</v>
      </c>
      <c r="I58" s="14" t="s">
        <v>620</v>
      </c>
      <c r="J58" t="s">
        <v>1115</v>
      </c>
      <c r="K58">
        <v>2013</v>
      </c>
      <c r="L58" t="s">
        <v>1144</v>
      </c>
      <c r="M58" t="s">
        <v>1129</v>
      </c>
      <c r="N58">
        <f t="shared" si="1"/>
        <v>2012</v>
      </c>
      <c r="O58">
        <v>2012</v>
      </c>
      <c r="P58">
        <v>2024</v>
      </c>
      <c r="Q58">
        <v>12</v>
      </c>
    </row>
    <row r="59" spans="1:17" x14ac:dyDescent="0.2">
      <c r="A59" s="4" t="s">
        <v>701</v>
      </c>
      <c r="B59" t="s">
        <v>116</v>
      </c>
      <c r="C59" t="s">
        <v>117</v>
      </c>
      <c r="D59" t="s">
        <v>534</v>
      </c>
      <c r="E59" s="13">
        <v>45350</v>
      </c>
      <c r="F59" t="s">
        <v>389</v>
      </c>
      <c r="G59" s="14" t="s">
        <v>620</v>
      </c>
      <c r="H59" s="14" t="str">
        <f t="shared" si="0"/>
        <v>059_VNM.pdf</v>
      </c>
      <c r="I59" s="14" t="s">
        <v>620</v>
      </c>
      <c r="J59" t="s">
        <v>1115</v>
      </c>
      <c r="K59">
        <v>2016</v>
      </c>
      <c r="L59">
        <v>2035</v>
      </c>
      <c r="M59" t="s">
        <v>1129</v>
      </c>
      <c r="N59">
        <f t="shared" si="1"/>
        <v>2035</v>
      </c>
      <c r="O59">
        <v>2016</v>
      </c>
      <c r="P59">
        <v>2035</v>
      </c>
      <c r="Q59">
        <v>19</v>
      </c>
    </row>
    <row r="60" spans="1:17" x14ac:dyDescent="0.2">
      <c r="A60" s="4" t="s">
        <v>702</v>
      </c>
      <c r="B60" t="s">
        <v>118</v>
      </c>
      <c r="C60" t="s">
        <v>119</v>
      </c>
      <c r="D60" t="s">
        <v>535</v>
      </c>
      <c r="E60" s="13">
        <v>45350</v>
      </c>
      <c r="F60" t="s">
        <v>389</v>
      </c>
      <c r="G60" s="14" t="s">
        <v>620</v>
      </c>
      <c r="H60" s="14" t="str">
        <f t="shared" si="0"/>
        <v>060_ETH.pdf</v>
      </c>
      <c r="I60" s="14" t="s">
        <v>620</v>
      </c>
      <c r="J60" t="s">
        <v>1115</v>
      </c>
      <c r="K60">
        <v>2021</v>
      </c>
      <c r="L60" t="s">
        <v>1133</v>
      </c>
      <c r="M60" t="s">
        <v>1129</v>
      </c>
      <c r="N60">
        <f t="shared" si="1"/>
        <v>2021</v>
      </c>
      <c r="O60">
        <v>2021</v>
      </c>
      <c r="P60">
        <v>2030</v>
      </c>
      <c r="Q60">
        <v>9</v>
      </c>
    </row>
    <row r="61" spans="1:17" x14ac:dyDescent="0.2">
      <c r="A61" s="4" t="s">
        <v>703</v>
      </c>
      <c r="B61" t="s">
        <v>120</v>
      </c>
      <c r="C61" t="s">
        <v>121</v>
      </c>
      <c r="D61" t="s">
        <v>536</v>
      </c>
      <c r="E61" s="13">
        <v>45547</v>
      </c>
      <c r="F61" t="s">
        <v>389</v>
      </c>
      <c r="G61" s="14" t="s">
        <v>621</v>
      </c>
      <c r="H61" s="14" t="str">
        <f t="shared" si="0"/>
        <v>061_COD.pdf</v>
      </c>
      <c r="I61" s="14" t="s">
        <v>621</v>
      </c>
      <c r="J61" t="s">
        <v>1115</v>
      </c>
      <c r="K61">
        <v>2019</v>
      </c>
      <c r="L61" t="s">
        <v>1136</v>
      </c>
      <c r="M61" t="s">
        <v>1129</v>
      </c>
      <c r="N61">
        <f t="shared" si="1"/>
        <v>2019</v>
      </c>
      <c r="O61">
        <v>2019</v>
      </c>
      <c r="P61">
        <v>2023</v>
      </c>
      <c r="Q61">
        <v>4</v>
      </c>
    </row>
    <row r="62" spans="1:17" x14ac:dyDescent="0.2">
      <c r="A62" s="4" t="s">
        <v>704</v>
      </c>
      <c r="B62" t="s">
        <v>122</v>
      </c>
      <c r="C62" t="s">
        <v>123</v>
      </c>
      <c r="D62" s="2" t="s">
        <v>404</v>
      </c>
      <c r="E62" s="13">
        <v>45350</v>
      </c>
      <c r="F62" t="s">
        <v>389</v>
      </c>
      <c r="G62" s="14" t="s">
        <v>624</v>
      </c>
      <c r="H62" s="14" t="str">
        <f t="shared" si="0"/>
        <v>062_PER.pdf</v>
      </c>
      <c r="I62" s="14" t="s">
        <v>624</v>
      </c>
      <c r="J62" t="s">
        <v>1116</v>
      </c>
      <c r="K62" s="14"/>
      <c r="L62" s="14"/>
      <c r="M62" s="14"/>
      <c r="Q62">
        <v>0</v>
      </c>
    </row>
    <row r="63" spans="1:17" x14ac:dyDescent="0.2">
      <c r="A63" s="4" t="s">
        <v>705</v>
      </c>
      <c r="B63" t="s">
        <v>124</v>
      </c>
      <c r="C63" t="s">
        <v>125</v>
      </c>
      <c r="D63" t="s">
        <v>537</v>
      </c>
      <c r="E63" s="13">
        <v>45350</v>
      </c>
      <c r="F63" t="s">
        <v>389</v>
      </c>
      <c r="G63" s="14" t="s">
        <v>620</v>
      </c>
      <c r="H63" s="14" t="str">
        <f t="shared" si="0"/>
        <v>063_ALB.pdf</v>
      </c>
      <c r="I63" s="14" t="s">
        <v>620</v>
      </c>
      <c r="J63" t="s">
        <v>1115</v>
      </c>
      <c r="K63" s="14">
        <v>2021</v>
      </c>
      <c r="L63" s="14" t="s">
        <v>1137</v>
      </c>
      <c r="M63" s="14" t="s">
        <v>1129</v>
      </c>
      <c r="N63">
        <f t="shared" si="1"/>
        <v>2021</v>
      </c>
      <c r="O63">
        <v>2021</v>
      </c>
      <c r="P63">
        <v>2025</v>
      </c>
      <c r="Q63">
        <v>4</v>
      </c>
    </row>
    <row r="64" spans="1:17" x14ac:dyDescent="0.2">
      <c r="A64" s="4" t="s">
        <v>706</v>
      </c>
      <c r="B64" t="s">
        <v>126</v>
      </c>
      <c r="C64" t="s">
        <v>127</v>
      </c>
      <c r="D64" s="2" t="s">
        <v>1110</v>
      </c>
      <c r="E64" s="13">
        <v>45547</v>
      </c>
      <c r="F64" t="s">
        <v>389</v>
      </c>
      <c r="G64" s="14" t="s">
        <v>620</v>
      </c>
      <c r="H64" s="14" t="str">
        <f t="shared" si="0"/>
        <v>064_UKR.pdf</v>
      </c>
      <c r="I64" s="14" t="s">
        <v>620</v>
      </c>
      <c r="J64" t="s">
        <v>1115</v>
      </c>
      <c r="K64" s="14">
        <v>2024</v>
      </c>
      <c r="L64" s="14" t="s">
        <v>1145</v>
      </c>
      <c r="M64" s="14" t="s">
        <v>1129</v>
      </c>
      <c r="N64">
        <f t="shared" si="1"/>
        <v>2024</v>
      </c>
      <c r="O64">
        <v>2024</v>
      </c>
      <c r="P64">
        <v>2028</v>
      </c>
      <c r="Q64">
        <v>4</v>
      </c>
    </row>
    <row r="65" spans="1:17" x14ac:dyDescent="0.2">
      <c r="A65" s="4" t="s">
        <v>707</v>
      </c>
      <c r="B65" t="s">
        <v>128</v>
      </c>
      <c r="C65" t="s">
        <v>129</v>
      </c>
      <c r="D65" s="2" t="s">
        <v>415</v>
      </c>
      <c r="E65" s="13">
        <v>45350</v>
      </c>
      <c r="F65" t="s">
        <v>389</v>
      </c>
      <c r="G65" s="14" t="s">
        <v>622</v>
      </c>
      <c r="H65" s="14" t="str">
        <f t="shared" si="0"/>
        <v>065_BRA.pdf</v>
      </c>
      <c r="I65" s="14" t="s">
        <v>622</v>
      </c>
      <c r="J65" t="s">
        <v>1115</v>
      </c>
      <c r="K65" s="14">
        <v>2020</v>
      </c>
      <c r="L65" s="14" t="s">
        <v>1146</v>
      </c>
      <c r="M65" s="14" t="s">
        <v>1129</v>
      </c>
      <c r="N65">
        <f t="shared" si="1"/>
        <v>2020</v>
      </c>
      <c r="O65">
        <v>2020</v>
      </c>
      <c r="P65">
        <v>2031</v>
      </c>
      <c r="Q65">
        <v>11</v>
      </c>
    </row>
    <row r="66" spans="1:17" x14ac:dyDescent="0.2">
      <c r="A66" s="4" t="s">
        <v>708</v>
      </c>
      <c r="B66" t="s">
        <v>130</v>
      </c>
      <c r="C66" t="s">
        <v>131</v>
      </c>
      <c r="D66" t="s">
        <v>539</v>
      </c>
      <c r="E66" s="13">
        <v>45350</v>
      </c>
      <c r="F66" t="s">
        <v>389</v>
      </c>
      <c r="G66" s="14" t="s">
        <v>620</v>
      </c>
      <c r="H66" s="14" t="str">
        <f t="shared" si="0"/>
        <v>066_IND.pdf</v>
      </c>
      <c r="I66" s="14" t="s">
        <v>620</v>
      </c>
      <c r="J66" t="s">
        <v>1115</v>
      </c>
      <c r="K66" s="14">
        <v>2013</v>
      </c>
      <c r="L66" s="14" t="s">
        <v>1147</v>
      </c>
      <c r="M66" s="14" t="s">
        <v>1129</v>
      </c>
      <c r="N66">
        <f t="shared" si="1"/>
        <v>2012</v>
      </c>
      <c r="O66">
        <v>2012</v>
      </c>
      <c r="P66">
        <v>2017</v>
      </c>
      <c r="Q66">
        <v>5</v>
      </c>
    </row>
    <row r="67" spans="1:17" x14ac:dyDescent="0.2">
      <c r="A67" s="4" t="s">
        <v>709</v>
      </c>
      <c r="B67" t="s">
        <v>132</v>
      </c>
      <c r="C67" t="s">
        <v>133</v>
      </c>
      <c r="D67" s="2" t="s">
        <v>440</v>
      </c>
      <c r="E67" s="13">
        <v>45350</v>
      </c>
      <c r="F67" t="s">
        <v>389</v>
      </c>
      <c r="G67" s="14" t="s">
        <v>620</v>
      </c>
      <c r="H67" s="14" t="str">
        <f t="shared" ref="H67:H130" si="2">_xlfn.CONCAT(A67,"_",B67,".pdf")</f>
        <v>067_DZA.pdf</v>
      </c>
      <c r="I67" s="14" t="s">
        <v>620</v>
      </c>
      <c r="J67" t="s">
        <v>1115</v>
      </c>
      <c r="K67" s="14">
        <v>2013</v>
      </c>
      <c r="L67">
        <v>2030</v>
      </c>
      <c r="M67" s="14" t="s">
        <v>1129</v>
      </c>
      <c r="N67">
        <f t="shared" ref="N67:N130" si="3">VALUE(MID(L67,1,4))</f>
        <v>2030</v>
      </c>
      <c r="O67">
        <v>2013</v>
      </c>
      <c r="P67">
        <v>2030</v>
      </c>
      <c r="Q67">
        <v>17</v>
      </c>
    </row>
    <row r="68" spans="1:17" x14ac:dyDescent="0.2">
      <c r="A68" s="4" t="s">
        <v>710</v>
      </c>
      <c r="B68" t="s">
        <v>134</v>
      </c>
      <c r="C68" t="s">
        <v>135</v>
      </c>
      <c r="D68" t="s">
        <v>540</v>
      </c>
      <c r="E68" s="13">
        <v>45350</v>
      </c>
      <c r="F68" t="s">
        <v>389</v>
      </c>
      <c r="G68" s="14" t="s">
        <v>620</v>
      </c>
      <c r="H68" s="14" t="str">
        <f t="shared" si="2"/>
        <v>068_RWA.pdf</v>
      </c>
      <c r="I68" s="14" t="s">
        <v>620</v>
      </c>
      <c r="J68" t="s">
        <v>1115</v>
      </c>
      <c r="K68" s="14">
        <v>2017</v>
      </c>
      <c r="L68" t="s">
        <v>1148</v>
      </c>
      <c r="M68" s="14" t="s">
        <v>1129</v>
      </c>
      <c r="N68">
        <f t="shared" si="3"/>
        <v>2017</v>
      </c>
      <c r="O68">
        <v>2017</v>
      </c>
      <c r="P68">
        <v>2024</v>
      </c>
      <c r="Q68">
        <v>7</v>
      </c>
    </row>
    <row r="69" spans="1:17" x14ac:dyDescent="0.2">
      <c r="A69" s="4" t="s">
        <v>711</v>
      </c>
      <c r="B69" t="s">
        <v>136</v>
      </c>
      <c r="C69" t="s">
        <v>137</v>
      </c>
      <c r="D69" t="s">
        <v>541</v>
      </c>
      <c r="E69" s="13">
        <v>45350</v>
      </c>
      <c r="F69" t="s">
        <v>389</v>
      </c>
      <c r="G69" s="14" t="s">
        <v>628</v>
      </c>
      <c r="H69" s="14" t="str">
        <f t="shared" si="2"/>
        <v>069_BIH.pdf</v>
      </c>
      <c r="I69" s="14" t="s">
        <v>628</v>
      </c>
      <c r="J69" t="s">
        <v>1115</v>
      </c>
      <c r="K69" s="14">
        <v>2020</v>
      </c>
      <c r="L69" t="s">
        <v>1126</v>
      </c>
      <c r="M69" s="14" t="s">
        <v>1129</v>
      </c>
      <c r="N69">
        <f t="shared" si="3"/>
        <v>2021</v>
      </c>
      <c r="O69">
        <v>2020</v>
      </c>
      <c r="P69">
        <v>2027</v>
      </c>
      <c r="Q69">
        <v>7</v>
      </c>
    </row>
    <row r="70" spans="1:17" x14ac:dyDescent="0.2">
      <c r="A70" s="4" t="s">
        <v>712</v>
      </c>
      <c r="B70" t="s">
        <v>138</v>
      </c>
      <c r="C70" t="s">
        <v>139</v>
      </c>
      <c r="D70" t="s">
        <v>544</v>
      </c>
      <c r="E70" s="13">
        <v>45350</v>
      </c>
      <c r="F70" t="s">
        <v>389</v>
      </c>
      <c r="G70" s="14" t="s">
        <v>620</v>
      </c>
      <c r="H70" s="14" t="str">
        <f t="shared" si="2"/>
        <v>070_AUS.pdf</v>
      </c>
      <c r="I70" s="14" t="s">
        <v>620</v>
      </c>
      <c r="J70" t="s">
        <v>1115</v>
      </c>
      <c r="K70" s="14">
        <v>2023</v>
      </c>
      <c r="L70">
        <v>2030</v>
      </c>
      <c r="M70" s="14" t="s">
        <v>1129</v>
      </c>
      <c r="N70">
        <f t="shared" si="3"/>
        <v>2030</v>
      </c>
      <c r="O70">
        <v>2023</v>
      </c>
      <c r="P70">
        <v>2030</v>
      </c>
      <c r="Q70">
        <v>7</v>
      </c>
    </row>
    <row r="71" spans="1:17" x14ac:dyDescent="0.2">
      <c r="A71" s="4" t="s">
        <v>713</v>
      </c>
      <c r="B71" t="s">
        <v>140</v>
      </c>
      <c r="C71" t="s">
        <v>141</v>
      </c>
      <c r="D71" s="2" t="s">
        <v>413</v>
      </c>
      <c r="E71" s="13">
        <v>45350</v>
      </c>
      <c r="F71" t="s">
        <v>389</v>
      </c>
      <c r="G71" s="14" t="s">
        <v>624</v>
      </c>
      <c r="H71" s="14" t="str">
        <f t="shared" si="2"/>
        <v>071_BOL.pdf</v>
      </c>
      <c r="I71" s="14" t="s">
        <v>624</v>
      </c>
      <c r="J71" t="s">
        <v>1116</v>
      </c>
      <c r="Q71">
        <v>0</v>
      </c>
    </row>
    <row r="72" spans="1:17" x14ac:dyDescent="0.2">
      <c r="A72" s="4" t="s">
        <v>714</v>
      </c>
      <c r="B72" t="s">
        <v>142</v>
      </c>
      <c r="C72" t="s">
        <v>143</v>
      </c>
      <c r="D72" t="s">
        <v>468</v>
      </c>
      <c r="E72" s="13">
        <v>45350</v>
      </c>
      <c r="F72" t="s">
        <v>389</v>
      </c>
      <c r="G72" s="14" t="s">
        <v>620</v>
      </c>
      <c r="H72" s="14" t="str">
        <f t="shared" si="2"/>
        <v>072_CMR.pdf</v>
      </c>
      <c r="I72" s="14" t="s">
        <v>620</v>
      </c>
      <c r="J72" t="s">
        <v>1115</v>
      </c>
      <c r="K72" s="14">
        <v>2020</v>
      </c>
      <c r="L72" s="14" t="s">
        <v>1149</v>
      </c>
      <c r="M72" s="14" t="s">
        <v>1129</v>
      </c>
      <c r="N72">
        <f t="shared" si="3"/>
        <v>2020</v>
      </c>
      <c r="O72">
        <v>2020</v>
      </c>
      <c r="P72">
        <v>2030</v>
      </c>
      <c r="Q72">
        <v>10</v>
      </c>
    </row>
    <row r="73" spans="1:17" x14ac:dyDescent="0.2">
      <c r="A73" s="4" t="s">
        <v>715</v>
      </c>
      <c r="B73" t="s">
        <v>144</v>
      </c>
      <c r="C73" t="s">
        <v>145</v>
      </c>
      <c r="D73" t="s">
        <v>545</v>
      </c>
      <c r="E73" s="13">
        <v>45350</v>
      </c>
      <c r="F73" t="s">
        <v>389</v>
      </c>
      <c r="G73" s="14" t="s">
        <v>620</v>
      </c>
      <c r="H73" s="14" t="str">
        <f t="shared" si="2"/>
        <v>073_RUS.pdf</v>
      </c>
      <c r="I73" s="14" t="s">
        <v>620</v>
      </c>
      <c r="J73" t="s">
        <v>1115</v>
      </c>
      <c r="K73" s="14">
        <v>2020</v>
      </c>
      <c r="L73" s="14" t="s">
        <v>1149</v>
      </c>
      <c r="M73" s="14" t="s">
        <v>1129</v>
      </c>
      <c r="N73">
        <f t="shared" si="3"/>
        <v>2020</v>
      </c>
      <c r="O73">
        <v>2020</v>
      </c>
      <c r="P73">
        <v>2030</v>
      </c>
      <c r="Q73">
        <v>10</v>
      </c>
    </row>
    <row r="74" spans="1:17" x14ac:dyDescent="0.2">
      <c r="A74" s="4" t="s">
        <v>716</v>
      </c>
      <c r="B74" t="s">
        <v>146</v>
      </c>
      <c r="C74" t="s">
        <v>147</v>
      </c>
      <c r="D74" t="s">
        <v>1111</v>
      </c>
      <c r="E74" s="13">
        <v>45547</v>
      </c>
      <c r="F74" t="s">
        <v>389</v>
      </c>
      <c r="G74" s="14" t="s">
        <v>629</v>
      </c>
      <c r="H74" s="14" t="str">
        <f t="shared" si="2"/>
        <v>074_ISR.pdf</v>
      </c>
      <c r="I74" s="14" t="s">
        <v>620</v>
      </c>
      <c r="J74" t="s">
        <v>1115</v>
      </c>
      <c r="K74" s="14">
        <v>2016</v>
      </c>
      <c r="L74">
        <v>2030</v>
      </c>
      <c r="M74" s="14" t="s">
        <v>1129</v>
      </c>
      <c r="N74">
        <f t="shared" si="3"/>
        <v>2030</v>
      </c>
      <c r="O74">
        <v>2016</v>
      </c>
      <c r="P74">
        <v>2030</v>
      </c>
      <c r="Q74">
        <v>14</v>
      </c>
    </row>
    <row r="75" spans="1:17" x14ac:dyDescent="0.2">
      <c r="A75" s="4" t="s">
        <v>717</v>
      </c>
      <c r="B75" t="s">
        <v>148</v>
      </c>
      <c r="C75" t="s">
        <v>149</v>
      </c>
      <c r="D75" t="s">
        <v>485</v>
      </c>
      <c r="E75" s="13">
        <v>45350</v>
      </c>
      <c r="F75" t="s">
        <v>389</v>
      </c>
      <c r="G75" s="14" t="s">
        <v>620</v>
      </c>
      <c r="H75" s="14" t="str">
        <f t="shared" si="2"/>
        <v>075_USA.pdf</v>
      </c>
      <c r="I75" s="14" t="s">
        <v>620</v>
      </c>
      <c r="J75" t="s">
        <v>1115</v>
      </c>
      <c r="K75" s="14">
        <v>2022</v>
      </c>
      <c r="L75" t="s">
        <v>1132</v>
      </c>
      <c r="M75" s="14" t="s">
        <v>1129</v>
      </c>
      <c r="N75">
        <f t="shared" si="3"/>
        <v>2022</v>
      </c>
      <c r="O75">
        <v>2022</v>
      </c>
      <c r="P75">
        <v>2026</v>
      </c>
      <c r="Q75">
        <v>4</v>
      </c>
    </row>
    <row r="76" spans="1:17" x14ac:dyDescent="0.2">
      <c r="A76" s="4" t="s">
        <v>718</v>
      </c>
      <c r="B76" t="s">
        <v>150</v>
      </c>
      <c r="C76" t="s">
        <v>151</v>
      </c>
      <c r="D76" t="s">
        <v>549</v>
      </c>
      <c r="E76" s="13">
        <v>45350</v>
      </c>
      <c r="F76" t="s">
        <v>389</v>
      </c>
      <c r="G76" s="14" t="s">
        <v>620</v>
      </c>
      <c r="H76" s="14" t="str">
        <f t="shared" si="2"/>
        <v>076_EST.pdf</v>
      </c>
      <c r="I76" s="14" t="s">
        <v>620</v>
      </c>
      <c r="J76" t="s">
        <v>1115</v>
      </c>
      <c r="K76" s="14">
        <v>2020</v>
      </c>
      <c r="L76">
        <v>2035</v>
      </c>
      <c r="M76" s="14" t="s">
        <v>1129</v>
      </c>
      <c r="N76">
        <f t="shared" si="3"/>
        <v>2035</v>
      </c>
      <c r="O76">
        <v>2020</v>
      </c>
      <c r="P76">
        <v>2035</v>
      </c>
      <c r="Q76">
        <v>15</v>
      </c>
    </row>
    <row r="77" spans="1:17" x14ac:dyDescent="0.2">
      <c r="A77" s="4" t="s">
        <v>719</v>
      </c>
      <c r="B77" t="s">
        <v>152</v>
      </c>
      <c r="C77" t="s">
        <v>153</v>
      </c>
      <c r="D77" t="s">
        <v>550</v>
      </c>
      <c r="E77" s="13">
        <v>45350</v>
      </c>
      <c r="F77" t="s">
        <v>389</v>
      </c>
      <c r="G77" s="14" t="s">
        <v>631</v>
      </c>
      <c r="H77" s="14" t="str">
        <f t="shared" si="2"/>
        <v>077_HRV.pdf</v>
      </c>
      <c r="I77" s="14" t="s">
        <v>631</v>
      </c>
      <c r="J77" t="s">
        <v>1115</v>
      </c>
      <c r="K77" s="14">
        <v>2018</v>
      </c>
      <c r="L77">
        <v>2030</v>
      </c>
      <c r="M77" s="14" t="s">
        <v>1129</v>
      </c>
      <c r="N77">
        <f t="shared" si="3"/>
        <v>2030</v>
      </c>
      <c r="O77">
        <v>2018</v>
      </c>
      <c r="P77">
        <v>2030</v>
      </c>
      <c r="Q77">
        <v>12</v>
      </c>
    </row>
    <row r="78" spans="1:17" x14ac:dyDescent="0.2">
      <c r="A78" s="4" t="s">
        <v>720</v>
      </c>
      <c r="B78" t="s">
        <v>154</v>
      </c>
      <c r="C78" t="s">
        <v>155</v>
      </c>
      <c r="D78" s="2" t="s">
        <v>392</v>
      </c>
      <c r="E78" s="13">
        <v>45350</v>
      </c>
      <c r="F78" t="s">
        <v>389</v>
      </c>
      <c r="G78" s="14" t="s">
        <v>620</v>
      </c>
      <c r="H78" s="14" t="str">
        <f t="shared" si="2"/>
        <v>078_LVA.pdf</v>
      </c>
      <c r="I78" s="14" t="s">
        <v>620</v>
      </c>
      <c r="J78" t="s">
        <v>1115</v>
      </c>
      <c r="K78" s="14">
        <v>2020</v>
      </c>
      <c r="L78" t="s">
        <v>1126</v>
      </c>
      <c r="M78" s="14" t="s">
        <v>1129</v>
      </c>
      <c r="N78">
        <f t="shared" si="3"/>
        <v>2021</v>
      </c>
      <c r="O78">
        <v>2020</v>
      </c>
      <c r="P78">
        <v>2027</v>
      </c>
      <c r="Q78">
        <v>7</v>
      </c>
    </row>
    <row r="79" spans="1:17" x14ac:dyDescent="0.2">
      <c r="A79" s="4" t="s">
        <v>721</v>
      </c>
      <c r="B79" t="s">
        <v>156</v>
      </c>
      <c r="C79" t="s">
        <v>157</v>
      </c>
      <c r="D79" t="s">
        <v>551</v>
      </c>
      <c r="E79" s="13">
        <v>45475</v>
      </c>
      <c r="F79" t="s">
        <v>389</v>
      </c>
      <c r="G79" s="14" t="s">
        <v>620</v>
      </c>
      <c r="H79" s="14" t="str">
        <f t="shared" si="2"/>
        <v>079_SVK.pdf</v>
      </c>
      <c r="I79" s="14" t="s">
        <v>620</v>
      </c>
      <c r="J79" t="s">
        <v>1115</v>
      </c>
      <c r="K79" s="14">
        <v>2023</v>
      </c>
      <c r="L79">
        <v>2030</v>
      </c>
      <c r="M79" s="14" t="s">
        <v>1129</v>
      </c>
      <c r="N79">
        <f t="shared" si="3"/>
        <v>2030</v>
      </c>
      <c r="O79">
        <v>2023</v>
      </c>
      <c r="P79">
        <v>2030</v>
      </c>
      <c r="Q79">
        <v>7</v>
      </c>
    </row>
    <row r="80" spans="1:17" x14ac:dyDescent="0.2">
      <c r="A80" s="4" t="s">
        <v>722</v>
      </c>
      <c r="B80" t="s">
        <v>158</v>
      </c>
      <c r="C80" t="s">
        <v>159</v>
      </c>
      <c r="D80" t="s">
        <v>487</v>
      </c>
      <c r="E80" s="13">
        <v>45350</v>
      </c>
      <c r="F80" t="s">
        <v>389</v>
      </c>
      <c r="G80" s="14" t="s">
        <v>620</v>
      </c>
      <c r="H80" s="14" t="str">
        <f t="shared" si="2"/>
        <v>080_MDA.pdf</v>
      </c>
      <c r="I80" s="14" t="s">
        <v>620</v>
      </c>
      <c r="J80" t="s">
        <v>1115</v>
      </c>
      <c r="K80" s="14">
        <v>2018</v>
      </c>
      <c r="L80">
        <v>2030</v>
      </c>
      <c r="M80" s="14" t="s">
        <v>1129</v>
      </c>
      <c r="N80">
        <f t="shared" si="3"/>
        <v>2030</v>
      </c>
      <c r="O80">
        <v>2018</v>
      </c>
      <c r="P80">
        <v>2030</v>
      </c>
      <c r="Q80">
        <v>12</v>
      </c>
    </row>
    <row r="81" spans="1:17" x14ac:dyDescent="0.2">
      <c r="A81" s="4" t="s">
        <v>723</v>
      </c>
      <c r="B81" t="s">
        <v>160</v>
      </c>
      <c r="C81" t="s">
        <v>161</v>
      </c>
      <c r="D81" t="s">
        <v>552</v>
      </c>
      <c r="E81" s="13">
        <v>45350</v>
      </c>
      <c r="F81" t="s">
        <v>389</v>
      </c>
      <c r="G81" s="14" t="s">
        <v>620</v>
      </c>
      <c r="H81" s="14" t="str">
        <f t="shared" si="2"/>
        <v>081_ISL.pdf</v>
      </c>
      <c r="I81" s="14" t="s">
        <v>620</v>
      </c>
      <c r="J81" t="s">
        <v>1115</v>
      </c>
      <c r="K81" s="14">
        <v>2002</v>
      </c>
      <c r="L81" t="s">
        <v>1150</v>
      </c>
      <c r="M81" s="14" t="s">
        <v>1130</v>
      </c>
      <c r="N81">
        <f t="shared" si="3"/>
        <v>2002</v>
      </c>
      <c r="O81">
        <v>2002</v>
      </c>
      <c r="P81">
        <v>2020</v>
      </c>
      <c r="Q81">
        <v>18</v>
      </c>
    </row>
    <row r="82" spans="1:17" x14ac:dyDescent="0.2">
      <c r="A82" s="4" t="s">
        <v>724</v>
      </c>
      <c r="B82" t="s">
        <v>162</v>
      </c>
      <c r="C82" t="s">
        <v>163</v>
      </c>
      <c r="D82" s="2" t="s">
        <v>424</v>
      </c>
      <c r="E82" s="13">
        <v>45350</v>
      </c>
      <c r="F82" t="s">
        <v>389</v>
      </c>
      <c r="G82" s="14" t="s">
        <v>624</v>
      </c>
      <c r="H82" s="14" t="str">
        <f t="shared" si="2"/>
        <v>082_URY.pdf</v>
      </c>
      <c r="I82" s="14" t="s">
        <v>624</v>
      </c>
      <c r="J82" t="s">
        <v>1115</v>
      </c>
      <c r="K82" s="14">
        <v>2019</v>
      </c>
      <c r="L82">
        <v>2050</v>
      </c>
      <c r="M82" s="14" t="s">
        <v>1130</v>
      </c>
      <c r="N82">
        <f t="shared" si="3"/>
        <v>2050</v>
      </c>
      <c r="O82">
        <v>2019</v>
      </c>
      <c r="P82">
        <v>2050</v>
      </c>
      <c r="Q82">
        <v>31</v>
      </c>
    </row>
    <row r="83" spans="1:17" x14ac:dyDescent="0.2">
      <c r="A83" s="4" t="s">
        <v>725</v>
      </c>
      <c r="B83" t="s">
        <v>164</v>
      </c>
      <c r="C83" t="s">
        <v>165</v>
      </c>
      <c r="D83" t="s">
        <v>554</v>
      </c>
      <c r="E83" s="13">
        <v>45350</v>
      </c>
      <c r="F83" t="s">
        <v>389</v>
      </c>
      <c r="G83" s="14" t="s">
        <v>620</v>
      </c>
      <c r="H83" s="14" t="str">
        <f t="shared" si="2"/>
        <v>083_LUX.pdf</v>
      </c>
      <c r="I83" s="14" t="s">
        <v>620</v>
      </c>
      <c r="J83" t="s">
        <v>1115</v>
      </c>
      <c r="L83">
        <v>2030</v>
      </c>
      <c r="M83" s="14" t="s">
        <v>1129</v>
      </c>
      <c r="N83">
        <f t="shared" si="3"/>
        <v>2030</v>
      </c>
      <c r="P83">
        <v>2030</v>
      </c>
    </row>
    <row r="84" spans="1:17" x14ac:dyDescent="0.2">
      <c r="A84" s="4" t="s">
        <v>726</v>
      </c>
      <c r="B84" t="s">
        <v>166</v>
      </c>
      <c r="C84" t="s">
        <v>167</v>
      </c>
      <c r="D84" t="s">
        <v>555</v>
      </c>
      <c r="E84" s="13">
        <v>45350</v>
      </c>
      <c r="F84" t="s">
        <v>389</v>
      </c>
      <c r="G84" s="14" t="s">
        <v>632</v>
      </c>
      <c r="H84" s="14" t="str">
        <f t="shared" si="2"/>
        <v>084_BLR.pdf</v>
      </c>
      <c r="I84" s="14" t="s">
        <v>1112</v>
      </c>
      <c r="J84" t="s">
        <v>1115</v>
      </c>
      <c r="K84">
        <v>2018</v>
      </c>
      <c r="L84">
        <v>2035</v>
      </c>
      <c r="N84">
        <f t="shared" si="3"/>
        <v>2035</v>
      </c>
      <c r="O84">
        <v>2018</v>
      </c>
      <c r="P84">
        <v>2035</v>
      </c>
      <c r="Q84">
        <v>17</v>
      </c>
    </row>
    <row r="85" spans="1:17" x14ac:dyDescent="0.2">
      <c r="A85" s="4" t="s">
        <v>727</v>
      </c>
      <c r="B85" t="s">
        <v>168</v>
      </c>
      <c r="C85" t="s">
        <v>169</v>
      </c>
      <c r="D85" t="s">
        <v>557</v>
      </c>
      <c r="E85" s="13">
        <v>45350</v>
      </c>
      <c r="F85" t="s">
        <v>389</v>
      </c>
      <c r="G85" s="14" t="s">
        <v>620</v>
      </c>
      <c r="H85" s="14" t="str">
        <f t="shared" si="2"/>
        <v>085_LTU.pdf</v>
      </c>
      <c r="I85" s="14" t="s">
        <v>620</v>
      </c>
      <c r="J85" t="s">
        <v>1115</v>
      </c>
      <c r="L85">
        <v>2030</v>
      </c>
      <c r="N85">
        <f t="shared" si="3"/>
        <v>2030</v>
      </c>
      <c r="P85">
        <v>2030</v>
      </c>
    </row>
    <row r="86" spans="1:17" x14ac:dyDescent="0.2">
      <c r="A86" s="4" t="s">
        <v>728</v>
      </c>
      <c r="B86" t="s">
        <v>170</v>
      </c>
      <c r="C86" t="s">
        <v>171</v>
      </c>
      <c r="D86" t="s">
        <v>558</v>
      </c>
      <c r="E86" s="13">
        <v>45350</v>
      </c>
      <c r="F86" t="s">
        <v>389</v>
      </c>
      <c r="G86" s="14" t="s">
        <v>620</v>
      </c>
      <c r="H86" s="14" t="str">
        <f t="shared" si="2"/>
        <v>086_MLT.pdf</v>
      </c>
      <c r="I86" s="14" t="s">
        <v>620</v>
      </c>
      <c r="J86" t="s">
        <v>1115</v>
      </c>
      <c r="K86">
        <v>2022</v>
      </c>
      <c r="L86">
        <v>2050</v>
      </c>
      <c r="M86" t="s">
        <v>1130</v>
      </c>
      <c r="N86">
        <f t="shared" si="3"/>
        <v>2050</v>
      </c>
      <c r="O86">
        <v>2022</v>
      </c>
      <c r="P86">
        <v>2050</v>
      </c>
      <c r="Q86">
        <v>28</v>
      </c>
    </row>
    <row r="87" spans="1:17" x14ac:dyDescent="0.2">
      <c r="A87" s="4" t="s">
        <v>729</v>
      </c>
      <c r="B87" t="s">
        <v>172</v>
      </c>
      <c r="C87" t="s">
        <v>173</v>
      </c>
      <c r="D87" t="s">
        <v>477</v>
      </c>
      <c r="E87" s="13">
        <v>45350</v>
      </c>
      <c r="F87" t="s">
        <v>389</v>
      </c>
      <c r="G87" s="14" t="s">
        <v>620</v>
      </c>
      <c r="H87" s="14" t="str">
        <f t="shared" si="2"/>
        <v>087_KGZ.pdf</v>
      </c>
      <c r="I87" s="14" t="s">
        <v>620</v>
      </c>
      <c r="J87" t="s">
        <v>1115</v>
      </c>
      <c r="K87">
        <v>2018</v>
      </c>
      <c r="L87" t="s">
        <v>1151</v>
      </c>
      <c r="M87" t="s">
        <v>1130</v>
      </c>
      <c r="N87">
        <f t="shared" si="3"/>
        <v>2018</v>
      </c>
      <c r="O87">
        <v>2018</v>
      </c>
      <c r="P87">
        <v>2040</v>
      </c>
      <c r="Q87">
        <v>22</v>
      </c>
    </row>
    <row r="88" spans="1:17" x14ac:dyDescent="0.2">
      <c r="A88" s="4" t="s">
        <v>730</v>
      </c>
      <c r="B88" t="s">
        <v>174</v>
      </c>
      <c r="C88" t="s">
        <v>175</v>
      </c>
      <c r="D88" s="2" t="s">
        <v>419</v>
      </c>
      <c r="E88" s="13">
        <v>45350</v>
      </c>
      <c r="F88" t="s">
        <v>389</v>
      </c>
      <c r="G88" s="14" t="s">
        <v>624</v>
      </c>
      <c r="H88" s="14" t="str">
        <f t="shared" si="2"/>
        <v>088_CUB.pdf</v>
      </c>
      <c r="I88" s="14" t="s">
        <v>624</v>
      </c>
      <c r="J88" t="s">
        <v>1115</v>
      </c>
      <c r="K88">
        <v>2019</v>
      </c>
      <c r="L88">
        <v>2030</v>
      </c>
      <c r="M88" t="s">
        <v>1129</v>
      </c>
      <c r="N88">
        <f t="shared" si="3"/>
        <v>2030</v>
      </c>
      <c r="O88">
        <v>2019</v>
      </c>
      <c r="P88">
        <v>2030</v>
      </c>
      <c r="Q88">
        <v>11</v>
      </c>
    </row>
    <row r="89" spans="1:17" x14ac:dyDescent="0.2">
      <c r="A89" s="4" t="s">
        <v>731</v>
      </c>
      <c r="B89" t="s">
        <v>176</v>
      </c>
      <c r="C89" t="s">
        <v>177</v>
      </c>
      <c r="D89" s="2" t="s">
        <v>402</v>
      </c>
      <c r="E89" s="13">
        <v>45350</v>
      </c>
      <c r="F89" t="s">
        <v>389</v>
      </c>
      <c r="G89" s="14" t="s">
        <v>624</v>
      </c>
      <c r="H89" s="14" t="str">
        <f t="shared" si="2"/>
        <v>089_CRI.pdf</v>
      </c>
      <c r="I89" s="14" t="s">
        <v>624</v>
      </c>
      <c r="J89" t="s">
        <v>1115</v>
      </c>
      <c r="K89">
        <v>2022</v>
      </c>
      <c r="L89" t="s">
        <v>1152</v>
      </c>
      <c r="M89" t="s">
        <v>1129</v>
      </c>
      <c r="N89">
        <f t="shared" si="3"/>
        <v>2023</v>
      </c>
      <c r="O89">
        <v>2022</v>
      </c>
      <c r="P89">
        <v>2026</v>
      </c>
      <c r="Q89">
        <v>4</v>
      </c>
    </row>
    <row r="90" spans="1:17" x14ac:dyDescent="0.2">
      <c r="A90" s="4" t="s">
        <v>732</v>
      </c>
      <c r="B90" t="s">
        <v>178</v>
      </c>
      <c r="C90" t="s">
        <v>179</v>
      </c>
      <c r="D90" t="s">
        <v>559</v>
      </c>
      <c r="E90" s="13">
        <v>45350</v>
      </c>
      <c r="F90" t="s">
        <v>389</v>
      </c>
      <c r="G90" s="14" t="s">
        <v>633</v>
      </c>
      <c r="H90" s="14" t="str">
        <f t="shared" si="2"/>
        <v>090_AZE.pdf</v>
      </c>
      <c r="I90" s="14" t="s">
        <v>633</v>
      </c>
      <c r="J90" t="s">
        <v>1115</v>
      </c>
      <c r="K90">
        <v>2022</v>
      </c>
      <c r="L90" t="s">
        <v>1132</v>
      </c>
      <c r="M90" t="s">
        <v>1129</v>
      </c>
      <c r="N90">
        <f t="shared" si="3"/>
        <v>2022</v>
      </c>
      <c r="O90">
        <v>2022</v>
      </c>
      <c r="P90">
        <v>2026</v>
      </c>
      <c r="Q90">
        <v>4</v>
      </c>
    </row>
    <row r="91" spans="1:17" x14ac:dyDescent="0.2">
      <c r="A91" s="4" t="s">
        <v>733</v>
      </c>
      <c r="B91" t="s">
        <v>180</v>
      </c>
      <c r="C91" t="s">
        <v>181</v>
      </c>
      <c r="D91" t="s">
        <v>561</v>
      </c>
      <c r="E91" s="13">
        <v>45350</v>
      </c>
      <c r="F91" t="s">
        <v>389</v>
      </c>
      <c r="G91" s="14" t="s">
        <v>634</v>
      </c>
      <c r="H91" s="14" t="str">
        <f t="shared" si="2"/>
        <v>091_ARM.pdf</v>
      </c>
      <c r="I91" s="14" t="s">
        <v>620</v>
      </c>
      <c r="J91" t="s">
        <v>1115</v>
      </c>
      <c r="K91">
        <v>2014</v>
      </c>
      <c r="L91" t="s">
        <v>1153</v>
      </c>
      <c r="M91" t="s">
        <v>1129</v>
      </c>
      <c r="N91">
        <f t="shared" si="3"/>
        <v>2014</v>
      </c>
      <c r="O91">
        <v>2014</v>
      </c>
      <c r="P91">
        <v>2025</v>
      </c>
      <c r="Q91">
        <v>11</v>
      </c>
    </row>
    <row r="92" spans="1:17" x14ac:dyDescent="0.2">
      <c r="A92" s="4" t="s">
        <v>734</v>
      </c>
      <c r="B92" t="s">
        <v>182</v>
      </c>
      <c r="C92" t="s">
        <v>183</v>
      </c>
      <c r="D92" s="2" t="s">
        <v>437</v>
      </c>
      <c r="E92" s="13">
        <v>45350</v>
      </c>
      <c r="F92" t="s">
        <v>389</v>
      </c>
      <c r="G92" s="14" t="s">
        <v>620</v>
      </c>
      <c r="H92" s="14" t="str">
        <f t="shared" si="2"/>
        <v>092_FJI.pdf</v>
      </c>
      <c r="I92" s="14" t="s">
        <v>620</v>
      </c>
      <c r="J92" t="s">
        <v>1115</v>
      </c>
      <c r="K92">
        <v>2017</v>
      </c>
      <c r="L92" t="s">
        <v>1154</v>
      </c>
      <c r="M92" t="s">
        <v>1129</v>
      </c>
      <c r="N92">
        <f t="shared" si="3"/>
        <v>2017</v>
      </c>
      <c r="O92">
        <v>2017</v>
      </c>
      <c r="P92">
        <v>2036</v>
      </c>
      <c r="Q92">
        <v>19</v>
      </c>
    </row>
    <row r="93" spans="1:17" x14ac:dyDescent="0.2">
      <c r="A93" s="4" t="s">
        <v>735</v>
      </c>
      <c r="B93" t="s">
        <v>184</v>
      </c>
      <c r="C93" t="s">
        <v>185</v>
      </c>
      <c r="D93" t="s">
        <v>455</v>
      </c>
      <c r="E93" s="13">
        <v>45350</v>
      </c>
      <c r="F93" t="s">
        <v>389</v>
      </c>
      <c r="G93" s="14" t="s">
        <v>625</v>
      </c>
      <c r="H93" s="14" t="str">
        <f t="shared" si="2"/>
        <v>093_TUN.pdf</v>
      </c>
      <c r="I93" s="14" t="s">
        <v>625</v>
      </c>
      <c r="J93" t="s">
        <v>1115</v>
      </c>
      <c r="K93">
        <v>2016</v>
      </c>
      <c r="L93" t="s">
        <v>1155</v>
      </c>
      <c r="M93" t="s">
        <v>1129</v>
      </c>
      <c r="N93">
        <f t="shared" si="3"/>
        <v>2016</v>
      </c>
      <c r="O93">
        <v>2016</v>
      </c>
      <c r="P93">
        <v>2020</v>
      </c>
      <c r="Q93">
        <v>4</v>
      </c>
    </row>
    <row r="94" spans="1:17" x14ac:dyDescent="0.2">
      <c r="A94" s="4" t="s">
        <v>736</v>
      </c>
      <c r="B94" t="s">
        <v>186</v>
      </c>
      <c r="C94" t="s">
        <v>187</v>
      </c>
      <c r="D94" t="s">
        <v>564</v>
      </c>
      <c r="E94" s="13">
        <v>45350</v>
      </c>
      <c r="F94" t="s">
        <v>389</v>
      </c>
      <c r="G94" s="14" t="s">
        <v>620</v>
      </c>
      <c r="H94" s="14" t="str">
        <f t="shared" si="2"/>
        <v>094_MKD.pdf</v>
      </c>
      <c r="I94" s="14" t="s">
        <v>620</v>
      </c>
      <c r="J94" t="s">
        <v>1115</v>
      </c>
      <c r="K94">
        <v>2022</v>
      </c>
      <c r="L94" t="s">
        <v>1156</v>
      </c>
      <c r="M94" t="s">
        <v>1129</v>
      </c>
      <c r="N94">
        <f t="shared" si="3"/>
        <v>2022</v>
      </c>
      <c r="O94">
        <v>2022</v>
      </c>
      <c r="P94">
        <v>2024</v>
      </c>
      <c r="Q94">
        <v>2</v>
      </c>
    </row>
    <row r="95" spans="1:17" x14ac:dyDescent="0.2">
      <c r="A95" s="4" t="s">
        <v>737</v>
      </c>
      <c r="B95" t="s">
        <v>188</v>
      </c>
      <c r="C95" t="s">
        <v>189</v>
      </c>
      <c r="D95" s="2" t="s">
        <v>565</v>
      </c>
      <c r="E95" s="13">
        <v>45475</v>
      </c>
      <c r="F95" t="s">
        <v>389</v>
      </c>
      <c r="G95" s="14" t="s">
        <v>620</v>
      </c>
      <c r="H95" s="14" t="str">
        <f t="shared" si="2"/>
        <v>095_BTN.pdf</v>
      </c>
      <c r="I95" s="14" t="s">
        <v>620</v>
      </c>
      <c r="J95" t="s">
        <v>1115</v>
      </c>
      <c r="K95">
        <v>2018</v>
      </c>
      <c r="L95" t="s">
        <v>1157</v>
      </c>
      <c r="M95" t="s">
        <v>1129</v>
      </c>
      <c r="N95">
        <f t="shared" si="3"/>
        <v>2018</v>
      </c>
      <c r="O95">
        <v>2018</v>
      </c>
      <c r="P95">
        <v>2023</v>
      </c>
      <c r="Q95">
        <v>5</v>
      </c>
    </row>
    <row r="96" spans="1:17" x14ac:dyDescent="0.2">
      <c r="A96" s="4" t="s">
        <v>738</v>
      </c>
      <c r="B96" t="s">
        <v>190</v>
      </c>
      <c r="C96" t="s">
        <v>191</v>
      </c>
      <c r="D96" s="2" t="s">
        <v>412</v>
      </c>
      <c r="E96" s="13">
        <v>45350</v>
      </c>
      <c r="F96" t="s">
        <v>389</v>
      </c>
      <c r="G96" s="14" t="s">
        <v>624</v>
      </c>
      <c r="H96" s="14" t="str">
        <f t="shared" si="2"/>
        <v>096_DOM.pdf</v>
      </c>
      <c r="I96" s="14" t="s">
        <v>624</v>
      </c>
      <c r="J96" t="s">
        <v>1116</v>
      </c>
      <c r="Q96">
        <v>0</v>
      </c>
    </row>
    <row r="97" spans="1:17" x14ac:dyDescent="0.2">
      <c r="A97" s="4" t="s">
        <v>739</v>
      </c>
      <c r="B97" t="s">
        <v>192</v>
      </c>
      <c r="C97" t="s">
        <v>193</v>
      </c>
      <c r="D97" t="s">
        <v>566</v>
      </c>
      <c r="E97" s="13">
        <v>45350</v>
      </c>
      <c r="F97" t="s">
        <v>389</v>
      </c>
      <c r="G97" s="14" t="s">
        <v>620</v>
      </c>
      <c r="H97" s="14" t="str">
        <f t="shared" si="2"/>
        <v>097_SGP.pdf</v>
      </c>
      <c r="I97" s="14" t="s">
        <v>620</v>
      </c>
      <c r="J97" t="s">
        <v>1115</v>
      </c>
      <c r="K97">
        <v>2011</v>
      </c>
      <c r="L97">
        <v>2020</v>
      </c>
      <c r="M97" t="s">
        <v>1129</v>
      </c>
      <c r="N97">
        <f t="shared" si="3"/>
        <v>2020</v>
      </c>
      <c r="O97">
        <v>2011</v>
      </c>
      <c r="P97">
        <v>2020</v>
      </c>
      <c r="Q97">
        <v>9</v>
      </c>
    </row>
    <row r="98" spans="1:17" x14ac:dyDescent="0.2">
      <c r="A98" s="4" t="s">
        <v>740</v>
      </c>
      <c r="B98" t="s">
        <v>194</v>
      </c>
      <c r="C98" t="s">
        <v>195</v>
      </c>
      <c r="D98" t="s">
        <v>567</v>
      </c>
      <c r="E98" s="13">
        <v>45350</v>
      </c>
      <c r="F98" t="s">
        <v>389</v>
      </c>
      <c r="G98" s="14" t="s">
        <v>635</v>
      </c>
      <c r="H98" s="14" t="str">
        <f t="shared" si="2"/>
        <v>098_MNE.pdf</v>
      </c>
      <c r="I98" s="14" t="s">
        <v>628</v>
      </c>
      <c r="J98" t="s">
        <v>1115</v>
      </c>
      <c r="K98">
        <v>2016</v>
      </c>
      <c r="L98">
        <v>2030</v>
      </c>
      <c r="M98" t="s">
        <v>1129</v>
      </c>
      <c r="N98">
        <f t="shared" si="3"/>
        <v>2030</v>
      </c>
      <c r="O98">
        <v>2016</v>
      </c>
      <c r="P98">
        <v>2030</v>
      </c>
      <c r="Q98">
        <v>14</v>
      </c>
    </row>
    <row r="99" spans="1:17" x14ac:dyDescent="0.2">
      <c r="A99" s="4" t="s">
        <v>741</v>
      </c>
      <c r="B99" t="s">
        <v>196</v>
      </c>
      <c r="C99" t="s">
        <v>197</v>
      </c>
      <c r="D99" t="s">
        <v>486</v>
      </c>
      <c r="E99" s="13">
        <v>45350</v>
      </c>
      <c r="F99" t="s">
        <v>389</v>
      </c>
      <c r="G99" s="14" t="s">
        <v>620</v>
      </c>
      <c r="H99" s="14" t="str">
        <f t="shared" si="2"/>
        <v>099_MDV.pdf</v>
      </c>
      <c r="I99" s="14" t="s">
        <v>620</v>
      </c>
      <c r="J99" t="s">
        <v>1115</v>
      </c>
      <c r="K99">
        <v>2019</v>
      </c>
      <c r="L99" t="s">
        <v>1136</v>
      </c>
      <c r="M99" t="s">
        <v>1129</v>
      </c>
      <c r="N99">
        <f t="shared" si="3"/>
        <v>2019</v>
      </c>
      <c r="O99">
        <v>2019</v>
      </c>
      <c r="P99">
        <v>2023</v>
      </c>
      <c r="Q99">
        <v>4</v>
      </c>
    </row>
    <row r="100" spans="1:17" x14ac:dyDescent="0.2">
      <c r="A100" s="4" t="s">
        <v>742</v>
      </c>
      <c r="B100" t="s">
        <v>198</v>
      </c>
      <c r="C100" t="s">
        <v>199</v>
      </c>
      <c r="D100" t="s">
        <v>569</v>
      </c>
      <c r="E100" s="13">
        <v>45350</v>
      </c>
      <c r="F100" t="s">
        <v>389</v>
      </c>
      <c r="G100" s="14" t="s">
        <v>620</v>
      </c>
      <c r="H100" s="14" t="str">
        <f t="shared" si="2"/>
        <v>100_UZB.pdf</v>
      </c>
      <c r="I100" s="14" t="s">
        <v>620</v>
      </c>
      <c r="J100" t="s">
        <v>1115</v>
      </c>
      <c r="K100">
        <v>2022</v>
      </c>
      <c r="L100" t="s">
        <v>1132</v>
      </c>
      <c r="M100" t="s">
        <v>1129</v>
      </c>
      <c r="N100">
        <f t="shared" si="3"/>
        <v>2022</v>
      </c>
      <c r="O100">
        <v>2022</v>
      </c>
      <c r="P100">
        <v>2026</v>
      </c>
      <c r="Q100">
        <v>4</v>
      </c>
    </row>
    <row r="101" spans="1:17" x14ac:dyDescent="0.2">
      <c r="A101" s="4" t="s">
        <v>743</v>
      </c>
      <c r="B101" t="s">
        <v>200</v>
      </c>
      <c r="C101" t="s">
        <v>201</v>
      </c>
      <c r="D101" s="2" t="s">
        <v>430</v>
      </c>
      <c r="E101" s="13">
        <v>45350</v>
      </c>
      <c r="F101" t="s">
        <v>389</v>
      </c>
      <c r="G101" s="14" t="s">
        <v>624</v>
      </c>
      <c r="H101" s="14" t="str">
        <f t="shared" si="2"/>
        <v>101_SLV.pdf</v>
      </c>
      <c r="I101" s="14" t="s">
        <v>624</v>
      </c>
      <c r="J101" t="s">
        <v>1115</v>
      </c>
      <c r="K101">
        <v>2015</v>
      </c>
      <c r="L101" t="s">
        <v>1158</v>
      </c>
      <c r="M101" t="s">
        <v>1129</v>
      </c>
      <c r="N101">
        <f t="shared" si="3"/>
        <v>2014</v>
      </c>
      <c r="O101">
        <v>2014</v>
      </c>
      <c r="P101">
        <v>2019</v>
      </c>
      <c r="Q101">
        <v>5</v>
      </c>
    </row>
    <row r="102" spans="1:17" x14ac:dyDescent="0.2">
      <c r="A102" s="4" t="s">
        <v>744</v>
      </c>
      <c r="B102" t="s">
        <v>202</v>
      </c>
      <c r="C102" t="s">
        <v>203</v>
      </c>
      <c r="D102" s="2" t="s">
        <v>1108</v>
      </c>
      <c r="E102" s="13">
        <v>45475</v>
      </c>
      <c r="F102" t="s">
        <v>389</v>
      </c>
      <c r="G102" s="14" t="s">
        <v>620</v>
      </c>
      <c r="H102" s="14" t="str">
        <f t="shared" si="2"/>
        <v>102_JOR.pdf</v>
      </c>
      <c r="I102" s="14" t="s">
        <v>620</v>
      </c>
      <c r="J102" t="s">
        <v>1115</v>
      </c>
      <c r="K102">
        <v>2022</v>
      </c>
      <c r="L102" t="s">
        <v>1159</v>
      </c>
      <c r="M102" t="s">
        <v>1129</v>
      </c>
      <c r="N102">
        <f t="shared" si="3"/>
        <v>2023</v>
      </c>
      <c r="O102">
        <v>2022</v>
      </c>
      <c r="P102">
        <v>2025</v>
      </c>
      <c r="Q102">
        <v>3</v>
      </c>
    </row>
    <row r="103" spans="1:17" x14ac:dyDescent="0.2">
      <c r="A103" s="4" t="s">
        <v>745</v>
      </c>
      <c r="B103" t="s">
        <v>204</v>
      </c>
      <c r="C103" t="s">
        <v>205</v>
      </c>
      <c r="D103" s="2" t="s">
        <v>1109</v>
      </c>
      <c r="E103" s="13">
        <v>45475</v>
      </c>
      <c r="F103" t="s">
        <v>389</v>
      </c>
      <c r="G103" s="14" t="s">
        <v>620</v>
      </c>
      <c r="H103" s="14" t="str">
        <f t="shared" si="2"/>
        <v>103_ARE.pdf</v>
      </c>
      <c r="I103" s="14" t="s">
        <v>620</v>
      </c>
      <c r="J103" t="s">
        <v>1115</v>
      </c>
      <c r="K103">
        <v>2023</v>
      </c>
      <c r="L103">
        <v>2031</v>
      </c>
      <c r="M103" t="s">
        <v>1129</v>
      </c>
      <c r="N103">
        <f t="shared" si="3"/>
        <v>2031</v>
      </c>
      <c r="O103">
        <v>2023</v>
      </c>
      <c r="P103">
        <v>2031</v>
      </c>
      <c r="Q103">
        <v>8</v>
      </c>
    </row>
    <row r="104" spans="1:17" x14ac:dyDescent="0.2">
      <c r="A104" s="4" t="s">
        <v>746</v>
      </c>
      <c r="B104" t="s">
        <v>206</v>
      </c>
      <c r="C104" t="s">
        <v>207</v>
      </c>
      <c r="D104" t="s">
        <v>570</v>
      </c>
      <c r="E104" s="13">
        <v>45350</v>
      </c>
      <c r="F104" t="s">
        <v>389</v>
      </c>
      <c r="G104" s="14" t="s">
        <v>620</v>
      </c>
      <c r="H104" s="14" t="str">
        <f t="shared" si="2"/>
        <v>104_LKA.pdf</v>
      </c>
      <c r="I104" s="14" t="s">
        <v>620</v>
      </c>
      <c r="J104" t="s">
        <v>1115</v>
      </c>
      <c r="K104">
        <v>2019</v>
      </c>
      <c r="L104">
        <v>2030</v>
      </c>
      <c r="M104" t="s">
        <v>1129</v>
      </c>
      <c r="N104">
        <f t="shared" si="3"/>
        <v>2030</v>
      </c>
      <c r="O104">
        <v>2019</v>
      </c>
      <c r="P104">
        <v>2030</v>
      </c>
      <c r="Q104">
        <v>11</v>
      </c>
    </row>
    <row r="105" spans="1:17" x14ac:dyDescent="0.2">
      <c r="A105" s="4" t="s">
        <v>747</v>
      </c>
      <c r="B105" t="s">
        <v>208</v>
      </c>
      <c r="C105" t="s">
        <v>209</v>
      </c>
      <c r="D105" t="s">
        <v>469</v>
      </c>
      <c r="E105" s="13">
        <v>45350</v>
      </c>
      <c r="F105" t="s">
        <v>389</v>
      </c>
      <c r="G105" s="14" t="s">
        <v>620</v>
      </c>
      <c r="H105" s="14" t="str">
        <f t="shared" si="2"/>
        <v>105_TJK.pdf</v>
      </c>
      <c r="I105" s="14" t="s">
        <v>620</v>
      </c>
      <c r="J105" t="s">
        <v>1115</v>
      </c>
      <c r="K105">
        <v>2016</v>
      </c>
      <c r="L105">
        <v>2030</v>
      </c>
      <c r="M105" t="s">
        <v>1129</v>
      </c>
      <c r="N105">
        <f t="shared" si="3"/>
        <v>2030</v>
      </c>
      <c r="O105">
        <v>2016</v>
      </c>
      <c r="P105">
        <v>2030</v>
      </c>
      <c r="Q105">
        <v>14</v>
      </c>
    </row>
    <row r="106" spans="1:17" x14ac:dyDescent="0.2">
      <c r="A106" s="4" t="s">
        <v>748</v>
      </c>
      <c r="B106" t="s">
        <v>210</v>
      </c>
      <c r="C106" t="s">
        <v>211</v>
      </c>
      <c r="D106" s="2" t="s">
        <v>571</v>
      </c>
      <c r="E106" s="13">
        <v>45350</v>
      </c>
      <c r="F106" t="s">
        <v>389</v>
      </c>
      <c r="G106" s="14" t="s">
        <v>636</v>
      </c>
      <c r="H106" s="14" t="str">
        <f t="shared" si="2"/>
        <v>106_IRN.pdf</v>
      </c>
      <c r="I106" s="14" t="s">
        <v>636</v>
      </c>
      <c r="J106" t="s">
        <v>1115</v>
      </c>
      <c r="K106">
        <v>2016</v>
      </c>
      <c r="L106" t="s">
        <v>1160</v>
      </c>
      <c r="M106" t="s">
        <v>1129</v>
      </c>
      <c r="N106">
        <f t="shared" si="3"/>
        <v>2016</v>
      </c>
      <c r="O106">
        <v>2016</v>
      </c>
      <c r="P106">
        <v>2021</v>
      </c>
      <c r="Q106">
        <v>5</v>
      </c>
    </row>
    <row r="107" spans="1:17" x14ac:dyDescent="0.2">
      <c r="A107" s="4" t="s">
        <v>749</v>
      </c>
      <c r="B107" t="s">
        <v>212</v>
      </c>
      <c r="C107" t="s">
        <v>213</v>
      </c>
      <c r="D107" s="2" t="s">
        <v>428</v>
      </c>
      <c r="E107" s="13">
        <v>45350</v>
      </c>
      <c r="F107" t="s">
        <v>389</v>
      </c>
      <c r="G107" s="14" t="s">
        <v>624</v>
      </c>
      <c r="H107" s="14" t="str">
        <f t="shared" si="2"/>
        <v>107_PRY.pdf</v>
      </c>
      <c r="I107" s="14" t="s">
        <v>624</v>
      </c>
      <c r="J107" t="s">
        <v>1115</v>
      </c>
      <c r="K107">
        <v>2014</v>
      </c>
      <c r="L107">
        <v>2030</v>
      </c>
      <c r="M107" t="s">
        <v>1129</v>
      </c>
      <c r="N107">
        <f t="shared" si="3"/>
        <v>2030</v>
      </c>
      <c r="O107">
        <v>2014</v>
      </c>
      <c r="P107">
        <v>2030</v>
      </c>
      <c r="Q107">
        <v>16</v>
      </c>
    </row>
    <row r="108" spans="1:17" x14ac:dyDescent="0.2">
      <c r="A108" s="4" t="s">
        <v>750</v>
      </c>
      <c r="B108" t="s">
        <v>214</v>
      </c>
      <c r="C108" t="s">
        <v>215</v>
      </c>
      <c r="D108" t="s">
        <v>573</v>
      </c>
      <c r="E108" s="13">
        <v>45350</v>
      </c>
      <c r="F108" t="s">
        <v>389</v>
      </c>
      <c r="G108" s="14" t="s">
        <v>622</v>
      </c>
      <c r="H108" s="14" t="str">
        <f t="shared" si="2"/>
        <v>108_CPV.pdf</v>
      </c>
      <c r="I108" s="14" t="s">
        <v>622</v>
      </c>
      <c r="J108" t="s">
        <v>1115</v>
      </c>
      <c r="K108">
        <v>2017</v>
      </c>
      <c r="L108" t="s">
        <v>1140</v>
      </c>
      <c r="M108" t="s">
        <v>1129</v>
      </c>
      <c r="N108">
        <f t="shared" si="3"/>
        <v>2017</v>
      </c>
      <c r="O108">
        <v>2017</v>
      </c>
      <c r="P108">
        <v>2021</v>
      </c>
      <c r="Q108">
        <v>4</v>
      </c>
    </row>
    <row r="109" spans="1:17" x14ac:dyDescent="0.2">
      <c r="A109" s="4" t="s">
        <v>751</v>
      </c>
      <c r="B109" t="s">
        <v>216</v>
      </c>
      <c r="C109" t="s">
        <v>217</v>
      </c>
      <c r="D109" t="s">
        <v>449</v>
      </c>
      <c r="E109" s="13">
        <v>45350</v>
      </c>
      <c r="F109" t="s">
        <v>389</v>
      </c>
      <c r="G109" s="14" t="s">
        <v>625</v>
      </c>
      <c r="H109" s="14" t="str">
        <f t="shared" si="2"/>
        <v>109_OMN.pdf</v>
      </c>
      <c r="I109" s="14" t="s">
        <v>625</v>
      </c>
      <c r="J109" t="s">
        <v>1115</v>
      </c>
      <c r="K109">
        <v>2021</v>
      </c>
      <c r="L109" t="s">
        <v>1137</v>
      </c>
      <c r="M109" t="s">
        <v>1129</v>
      </c>
      <c r="N109">
        <f t="shared" si="3"/>
        <v>2021</v>
      </c>
      <c r="O109">
        <v>2021</v>
      </c>
      <c r="P109">
        <v>2025</v>
      </c>
      <c r="Q109">
        <v>4</v>
      </c>
    </row>
    <row r="110" spans="1:17" x14ac:dyDescent="0.2">
      <c r="A110" s="4" t="s">
        <v>752</v>
      </c>
      <c r="B110" t="s">
        <v>218</v>
      </c>
      <c r="C110" t="s">
        <v>219</v>
      </c>
      <c r="D110" t="s">
        <v>574</v>
      </c>
      <c r="E110" s="13">
        <v>45350</v>
      </c>
      <c r="F110" t="s">
        <v>389</v>
      </c>
      <c r="G110" s="14" t="s">
        <v>637</v>
      </c>
      <c r="H110" s="14" t="str">
        <f t="shared" si="2"/>
        <v>110_TKM.pdf</v>
      </c>
      <c r="I110" s="14" t="s">
        <v>637</v>
      </c>
      <c r="J110" t="s">
        <v>1115</v>
      </c>
      <c r="K110">
        <v>2010</v>
      </c>
      <c r="L110" t="s">
        <v>1162</v>
      </c>
      <c r="M110" t="s">
        <v>1129</v>
      </c>
      <c r="N110">
        <f t="shared" si="3"/>
        <v>2011</v>
      </c>
      <c r="O110">
        <v>2010</v>
      </c>
      <c r="P110">
        <v>2030</v>
      </c>
      <c r="Q110">
        <v>20</v>
      </c>
    </row>
    <row r="111" spans="1:17" x14ac:dyDescent="0.2">
      <c r="A111" s="4" t="s">
        <v>753</v>
      </c>
      <c r="B111" t="s">
        <v>220</v>
      </c>
      <c r="C111" t="s">
        <v>221</v>
      </c>
      <c r="D111" s="2" t="s">
        <v>408</v>
      </c>
      <c r="E111" s="13">
        <v>45350</v>
      </c>
      <c r="F111" t="s">
        <v>389</v>
      </c>
      <c r="G111" s="14" t="s">
        <v>620</v>
      </c>
      <c r="H111" s="14" t="str">
        <f t="shared" si="2"/>
        <v>111_SUR.pdf</v>
      </c>
      <c r="I111" s="14" t="s">
        <v>620</v>
      </c>
      <c r="J111" t="s">
        <v>1115</v>
      </c>
      <c r="K111">
        <v>2021</v>
      </c>
      <c r="L111" t="s">
        <v>1132</v>
      </c>
      <c r="M111" t="s">
        <v>1129</v>
      </c>
      <c r="N111">
        <f t="shared" si="3"/>
        <v>2022</v>
      </c>
      <c r="O111">
        <v>2021</v>
      </c>
      <c r="P111">
        <v>2026</v>
      </c>
      <c r="Q111">
        <v>5</v>
      </c>
    </row>
    <row r="112" spans="1:17" x14ac:dyDescent="0.2">
      <c r="A112" s="4" t="s">
        <v>754</v>
      </c>
      <c r="B112" t="s">
        <v>222</v>
      </c>
      <c r="C112" t="s">
        <v>223</v>
      </c>
      <c r="D112" t="s">
        <v>574</v>
      </c>
      <c r="E112" s="13">
        <v>45350</v>
      </c>
      <c r="F112" t="s">
        <v>389</v>
      </c>
      <c r="G112" s="14" t="s">
        <v>620</v>
      </c>
      <c r="H112" s="14" t="str">
        <f t="shared" si="2"/>
        <v>112_MUS.pdf</v>
      </c>
      <c r="I112" s="14" t="s">
        <v>620</v>
      </c>
      <c r="J112" t="s">
        <v>1115</v>
      </c>
      <c r="K112">
        <v>2021</v>
      </c>
      <c r="L112" t="s">
        <v>1137</v>
      </c>
      <c r="M112" t="s">
        <v>1129</v>
      </c>
      <c r="N112">
        <f t="shared" si="3"/>
        <v>2021</v>
      </c>
      <c r="O112">
        <v>2021</v>
      </c>
      <c r="P112">
        <v>2025</v>
      </c>
      <c r="Q112">
        <v>4</v>
      </c>
    </row>
    <row r="113" spans="1:17" x14ac:dyDescent="0.2">
      <c r="A113" s="4" t="s">
        <v>755</v>
      </c>
      <c r="B113" t="s">
        <v>224</v>
      </c>
      <c r="C113" t="s">
        <v>225</v>
      </c>
      <c r="D113" s="2" t="s">
        <v>445</v>
      </c>
      <c r="E113" s="13">
        <v>45350</v>
      </c>
      <c r="F113" t="s">
        <v>389</v>
      </c>
      <c r="G113" s="14" t="s">
        <v>620</v>
      </c>
      <c r="H113" s="14" t="str">
        <f t="shared" si="2"/>
        <v>113_LBN.pdf</v>
      </c>
      <c r="I113" s="14" t="s">
        <v>620</v>
      </c>
      <c r="J113" t="s">
        <v>1115</v>
      </c>
      <c r="K113">
        <v>2018</v>
      </c>
      <c r="L113" t="s">
        <v>1163</v>
      </c>
      <c r="M113" t="s">
        <v>1129</v>
      </c>
      <c r="N113">
        <f t="shared" si="3"/>
        <v>2018</v>
      </c>
      <c r="O113">
        <v>2018</v>
      </c>
      <c r="P113">
        <v>2020</v>
      </c>
      <c r="Q113">
        <v>2</v>
      </c>
    </row>
    <row r="114" spans="1:17" x14ac:dyDescent="0.2">
      <c r="A114" s="4" t="s">
        <v>756</v>
      </c>
      <c r="B114" t="s">
        <v>226</v>
      </c>
      <c r="C114" t="s">
        <v>227</v>
      </c>
      <c r="D114" s="2" t="s">
        <v>405</v>
      </c>
      <c r="E114" s="13">
        <v>45350</v>
      </c>
      <c r="F114" t="s">
        <v>389</v>
      </c>
      <c r="G114" s="14" t="s">
        <v>620</v>
      </c>
      <c r="H114" s="14" t="str">
        <f t="shared" si="2"/>
        <v>114_GUY.pdf</v>
      </c>
      <c r="I114" s="14" t="s">
        <v>620</v>
      </c>
      <c r="J114" t="s">
        <v>1115</v>
      </c>
      <c r="K114">
        <v>2022</v>
      </c>
      <c r="L114">
        <v>2030</v>
      </c>
      <c r="M114" t="s">
        <v>1129</v>
      </c>
      <c r="N114">
        <f t="shared" si="3"/>
        <v>2030</v>
      </c>
      <c r="O114">
        <v>2022</v>
      </c>
      <c r="P114">
        <v>2030</v>
      </c>
      <c r="Q114">
        <v>8</v>
      </c>
    </row>
    <row r="115" spans="1:17" x14ac:dyDescent="0.2">
      <c r="A115" s="4" t="s">
        <v>757</v>
      </c>
      <c r="B115" t="s">
        <v>228</v>
      </c>
      <c r="C115" t="s">
        <v>229</v>
      </c>
      <c r="D115" s="2" t="s">
        <v>418</v>
      </c>
      <c r="E115" s="13">
        <v>45350</v>
      </c>
      <c r="F115" t="s">
        <v>389</v>
      </c>
      <c r="G115" s="14" t="s">
        <v>624</v>
      </c>
      <c r="H115" s="14" t="str">
        <f t="shared" si="2"/>
        <v>115_PAN.pdf</v>
      </c>
      <c r="I115" s="14" t="s">
        <v>624</v>
      </c>
      <c r="J115" t="s">
        <v>1116</v>
      </c>
      <c r="Q115">
        <v>0</v>
      </c>
    </row>
    <row r="116" spans="1:17" x14ac:dyDescent="0.2">
      <c r="A116" s="4" t="s">
        <v>758</v>
      </c>
      <c r="B116" t="s">
        <v>230</v>
      </c>
      <c r="C116" t="s">
        <v>231</v>
      </c>
      <c r="D116" t="s">
        <v>576</v>
      </c>
      <c r="E116" s="13">
        <v>45350</v>
      </c>
      <c r="F116" t="s">
        <v>389</v>
      </c>
      <c r="G116" s="14" t="s">
        <v>620</v>
      </c>
      <c r="H116" s="14" t="str">
        <f t="shared" si="2"/>
        <v>116_NPL.pdf</v>
      </c>
      <c r="I116" s="14" t="s">
        <v>620</v>
      </c>
      <c r="J116" t="s">
        <v>1115</v>
      </c>
      <c r="K116">
        <v>2020</v>
      </c>
      <c r="L116" t="s">
        <v>1164</v>
      </c>
      <c r="M116" t="s">
        <v>1129</v>
      </c>
      <c r="N116">
        <f t="shared" si="3"/>
        <v>2019</v>
      </c>
      <c r="O116">
        <v>2019</v>
      </c>
      <c r="P116">
        <v>2024</v>
      </c>
      <c r="Q116">
        <v>5</v>
      </c>
    </row>
    <row r="117" spans="1:17" x14ac:dyDescent="0.2">
      <c r="A117" s="4" t="s">
        <v>759</v>
      </c>
      <c r="B117" t="s">
        <v>232</v>
      </c>
      <c r="C117" t="s">
        <v>233</v>
      </c>
      <c r="D117" t="s">
        <v>450</v>
      </c>
      <c r="E117" s="13">
        <v>45350</v>
      </c>
      <c r="F117" t="s">
        <v>389</v>
      </c>
      <c r="G117" s="14" t="s">
        <v>620</v>
      </c>
      <c r="H117" s="14" t="str">
        <f t="shared" si="2"/>
        <v>117_QAT.pdf</v>
      </c>
      <c r="I117" s="14" t="s">
        <v>620</v>
      </c>
      <c r="J117" t="s">
        <v>1115</v>
      </c>
      <c r="K117">
        <v>2008</v>
      </c>
      <c r="L117">
        <v>2030</v>
      </c>
      <c r="M117" t="s">
        <v>1130</v>
      </c>
      <c r="N117">
        <f t="shared" si="3"/>
        <v>2030</v>
      </c>
      <c r="O117">
        <v>2008</v>
      </c>
      <c r="P117">
        <v>2030</v>
      </c>
      <c r="Q117">
        <v>22</v>
      </c>
    </row>
    <row r="118" spans="1:17" x14ac:dyDescent="0.2">
      <c r="A118" s="4" t="s">
        <v>760</v>
      </c>
      <c r="B118" t="s">
        <v>234</v>
      </c>
      <c r="C118" t="s">
        <v>235</v>
      </c>
      <c r="D118" t="s">
        <v>490</v>
      </c>
      <c r="E118" s="13">
        <v>45350</v>
      </c>
      <c r="F118" t="s">
        <v>389</v>
      </c>
      <c r="G118" s="14" t="s">
        <v>620</v>
      </c>
      <c r="H118" s="14" t="str">
        <f t="shared" si="2"/>
        <v>118_BRN.pdf</v>
      </c>
      <c r="I118" s="14" t="s">
        <v>620</v>
      </c>
      <c r="J118" t="s">
        <v>1115</v>
      </c>
      <c r="K118">
        <v>2020</v>
      </c>
      <c r="L118" t="s">
        <v>1157</v>
      </c>
      <c r="M118" t="s">
        <v>1129</v>
      </c>
      <c r="N118">
        <f t="shared" si="3"/>
        <v>2018</v>
      </c>
      <c r="O118">
        <v>2018</v>
      </c>
      <c r="P118">
        <v>2023</v>
      </c>
      <c r="Q118">
        <v>5</v>
      </c>
    </row>
    <row r="119" spans="1:17" x14ac:dyDescent="0.2">
      <c r="A119" s="4" t="s">
        <v>761</v>
      </c>
      <c r="B119" t="s">
        <v>236</v>
      </c>
      <c r="C119" t="s">
        <v>237</v>
      </c>
      <c r="D119" t="s">
        <v>464</v>
      </c>
      <c r="E119" s="13">
        <v>45350</v>
      </c>
      <c r="F119" t="s">
        <v>389</v>
      </c>
      <c r="G119" s="14" t="s">
        <v>620</v>
      </c>
      <c r="H119" s="14" t="str">
        <f t="shared" si="2"/>
        <v>119_KHM.pdf</v>
      </c>
      <c r="I119" s="14" t="s">
        <v>620</v>
      </c>
      <c r="J119" t="s">
        <v>1115</v>
      </c>
      <c r="K119">
        <v>2019</v>
      </c>
      <c r="L119" t="s">
        <v>1136</v>
      </c>
      <c r="M119" t="s">
        <v>1129</v>
      </c>
      <c r="N119">
        <f t="shared" si="3"/>
        <v>2019</v>
      </c>
      <c r="O119">
        <v>2019</v>
      </c>
      <c r="P119">
        <v>2023</v>
      </c>
      <c r="Q119">
        <v>4</v>
      </c>
    </row>
    <row r="120" spans="1:17" x14ac:dyDescent="0.2">
      <c r="A120" s="4" t="s">
        <v>762</v>
      </c>
      <c r="B120" t="s">
        <v>238</v>
      </c>
      <c r="C120" t="s">
        <v>239</v>
      </c>
      <c r="D120" s="2" t="s">
        <v>410</v>
      </c>
      <c r="E120" s="13">
        <v>45350</v>
      </c>
      <c r="F120" t="s">
        <v>389</v>
      </c>
      <c r="G120" s="14" t="s">
        <v>624</v>
      </c>
      <c r="H120" s="14" t="str">
        <f t="shared" si="2"/>
        <v>120_NIC.pdf</v>
      </c>
      <c r="I120" s="14" t="s">
        <v>624</v>
      </c>
      <c r="J120" t="s">
        <v>1115</v>
      </c>
      <c r="K120">
        <v>2021</v>
      </c>
      <c r="L120" t="s">
        <v>1132</v>
      </c>
      <c r="M120" t="s">
        <v>1129</v>
      </c>
      <c r="N120">
        <f t="shared" si="3"/>
        <v>2022</v>
      </c>
      <c r="O120">
        <v>2021</v>
      </c>
      <c r="P120">
        <v>2026</v>
      </c>
      <c r="Q120">
        <v>5</v>
      </c>
    </row>
    <row r="121" spans="1:17" x14ac:dyDescent="0.2">
      <c r="A121" s="4" t="s">
        <v>763</v>
      </c>
      <c r="B121" t="s">
        <v>240</v>
      </c>
      <c r="C121" t="s">
        <v>241</v>
      </c>
      <c r="D121" s="2" t="s">
        <v>459</v>
      </c>
      <c r="E121" s="13">
        <v>45350</v>
      </c>
      <c r="F121" t="s">
        <v>389</v>
      </c>
      <c r="G121" s="14" t="s">
        <v>620</v>
      </c>
      <c r="H121" s="14" t="str">
        <f t="shared" si="2"/>
        <v>121_IRQ.pdf</v>
      </c>
      <c r="I121" s="14" t="s">
        <v>620</v>
      </c>
      <c r="J121" t="s">
        <v>1115</v>
      </c>
      <c r="K121">
        <v>2019</v>
      </c>
      <c r="L121" t="s">
        <v>1165</v>
      </c>
      <c r="M121" t="s">
        <v>1129</v>
      </c>
      <c r="N121">
        <f t="shared" si="3"/>
        <v>2019</v>
      </c>
      <c r="O121">
        <v>2019</v>
      </c>
      <c r="P121">
        <v>2030</v>
      </c>
      <c r="Q121">
        <v>11</v>
      </c>
    </row>
    <row r="122" spans="1:17" x14ac:dyDescent="0.2">
      <c r="A122" s="4" t="s">
        <v>764</v>
      </c>
      <c r="B122" t="s">
        <v>242</v>
      </c>
      <c r="C122" t="s">
        <v>243</v>
      </c>
      <c r="D122" t="s">
        <v>577</v>
      </c>
      <c r="E122" s="13">
        <v>45350</v>
      </c>
      <c r="F122" t="s">
        <v>389</v>
      </c>
      <c r="G122" s="14" t="s">
        <v>620</v>
      </c>
      <c r="H122" s="14" t="str">
        <f t="shared" si="2"/>
        <v>122_MNG.pdf</v>
      </c>
      <c r="I122" s="14" t="s">
        <v>620</v>
      </c>
      <c r="J122" t="s">
        <v>1115</v>
      </c>
      <c r="K122">
        <v>2016</v>
      </c>
      <c r="L122">
        <v>2030</v>
      </c>
      <c r="M122" t="s">
        <v>1129</v>
      </c>
      <c r="N122">
        <f t="shared" si="3"/>
        <v>2030</v>
      </c>
      <c r="O122">
        <v>2016</v>
      </c>
      <c r="P122">
        <v>2030</v>
      </c>
      <c r="Q122">
        <v>14</v>
      </c>
    </row>
    <row r="123" spans="1:17" x14ac:dyDescent="0.2">
      <c r="A123" s="4" t="s">
        <v>765</v>
      </c>
      <c r="B123" t="s">
        <v>244</v>
      </c>
      <c r="C123" t="s">
        <v>245</v>
      </c>
      <c r="D123" s="2" t="s">
        <v>422</v>
      </c>
      <c r="E123" s="13">
        <v>45350</v>
      </c>
      <c r="F123" t="s">
        <v>389</v>
      </c>
      <c r="G123" s="14" t="s">
        <v>620</v>
      </c>
      <c r="H123" s="14" t="str">
        <f t="shared" si="2"/>
        <v>123_BLZ.pdf</v>
      </c>
      <c r="I123" s="14" t="s">
        <v>620</v>
      </c>
      <c r="J123" t="s">
        <v>1115</v>
      </c>
      <c r="K123">
        <v>2010</v>
      </c>
      <c r="L123" t="s">
        <v>1166</v>
      </c>
      <c r="M123" t="s">
        <v>1130</v>
      </c>
      <c r="N123">
        <f t="shared" si="3"/>
        <v>2010</v>
      </c>
      <c r="O123">
        <v>2010</v>
      </c>
      <c r="P123">
        <v>2030</v>
      </c>
      <c r="Q123">
        <v>20</v>
      </c>
    </row>
    <row r="124" spans="1:17" x14ac:dyDescent="0.2">
      <c r="A124" s="4" t="s">
        <v>766</v>
      </c>
      <c r="B124" t="s">
        <v>246</v>
      </c>
      <c r="C124" t="s">
        <v>247</v>
      </c>
      <c r="D124" s="2" t="s">
        <v>438</v>
      </c>
      <c r="E124" s="13">
        <v>45350</v>
      </c>
      <c r="F124" t="s">
        <v>389</v>
      </c>
      <c r="G124" s="14" t="s">
        <v>625</v>
      </c>
      <c r="H124" s="14" t="str">
        <f t="shared" si="2"/>
        <v>124_KWT.pdf</v>
      </c>
      <c r="I124" s="14" t="s">
        <v>625</v>
      </c>
      <c r="J124" t="s">
        <v>1115</v>
      </c>
      <c r="K124">
        <v>2022</v>
      </c>
      <c r="L124" t="s">
        <v>1132</v>
      </c>
      <c r="M124" t="s">
        <v>1129</v>
      </c>
      <c r="N124">
        <f t="shared" si="3"/>
        <v>2022</v>
      </c>
      <c r="O124">
        <v>2022</v>
      </c>
      <c r="P124">
        <v>2026</v>
      </c>
      <c r="Q124">
        <v>4</v>
      </c>
    </row>
    <row r="125" spans="1:17" x14ac:dyDescent="0.2">
      <c r="A125" s="4" t="s">
        <v>767</v>
      </c>
      <c r="B125" t="s">
        <v>248</v>
      </c>
      <c r="C125" t="s">
        <v>249</v>
      </c>
      <c r="D125" s="2" t="s">
        <v>436</v>
      </c>
      <c r="E125" s="13">
        <v>45474</v>
      </c>
      <c r="F125" t="s">
        <v>389</v>
      </c>
      <c r="G125" s="14" t="s">
        <v>620</v>
      </c>
      <c r="H125" s="14" t="str">
        <f t="shared" si="2"/>
        <v>125_NAM.pdf</v>
      </c>
      <c r="I125" s="14" t="s">
        <v>620</v>
      </c>
      <c r="J125" t="s">
        <v>1115</v>
      </c>
      <c r="K125">
        <v>2004</v>
      </c>
      <c r="L125">
        <v>2030</v>
      </c>
      <c r="M125" t="s">
        <v>1130</v>
      </c>
      <c r="N125">
        <f t="shared" si="3"/>
        <v>2030</v>
      </c>
      <c r="O125">
        <v>2004</v>
      </c>
      <c r="P125">
        <v>2030</v>
      </c>
      <c r="Q125">
        <v>26</v>
      </c>
    </row>
    <row r="126" spans="1:17" x14ac:dyDescent="0.2">
      <c r="A126" s="4" t="s">
        <v>768</v>
      </c>
      <c r="B126" t="s">
        <v>250</v>
      </c>
      <c r="C126" t="s">
        <v>251</v>
      </c>
      <c r="D126" t="s">
        <v>442</v>
      </c>
      <c r="E126" s="13">
        <v>45350</v>
      </c>
      <c r="F126" t="s">
        <v>389</v>
      </c>
      <c r="G126" s="14" t="s">
        <v>625</v>
      </c>
      <c r="H126" s="14" t="str">
        <f t="shared" si="2"/>
        <v>126_BHR.pdf</v>
      </c>
      <c r="I126" s="14" t="s">
        <v>625</v>
      </c>
      <c r="J126" t="s">
        <v>1116</v>
      </c>
      <c r="Q126">
        <v>0</v>
      </c>
    </row>
    <row r="127" spans="1:17" x14ac:dyDescent="0.2">
      <c r="A127" s="4" t="s">
        <v>769</v>
      </c>
      <c r="B127" t="s">
        <v>252</v>
      </c>
      <c r="C127" t="s">
        <v>253</v>
      </c>
      <c r="D127" t="s">
        <v>578</v>
      </c>
      <c r="E127" s="13">
        <v>45350</v>
      </c>
      <c r="F127" t="s">
        <v>389</v>
      </c>
      <c r="G127" s="14" t="s">
        <v>621</v>
      </c>
      <c r="H127" s="14" t="str">
        <f t="shared" si="2"/>
        <v>127_GAB.pdf</v>
      </c>
      <c r="I127" s="14" t="s">
        <v>621</v>
      </c>
      <c r="J127" t="s">
        <v>1115</v>
      </c>
      <c r="K127">
        <v>2012</v>
      </c>
      <c r="L127" t="s">
        <v>1167</v>
      </c>
      <c r="M127" t="s">
        <v>1129</v>
      </c>
      <c r="N127">
        <f t="shared" si="3"/>
        <v>2011</v>
      </c>
      <c r="O127">
        <v>2011</v>
      </c>
      <c r="P127">
        <v>2016</v>
      </c>
      <c r="Q127">
        <v>5</v>
      </c>
    </row>
    <row r="128" spans="1:17" x14ac:dyDescent="0.2">
      <c r="A128" s="4" t="s">
        <v>770</v>
      </c>
      <c r="B128" t="s">
        <v>254</v>
      </c>
      <c r="C128" t="s">
        <v>255</v>
      </c>
      <c r="D128" s="2" t="s">
        <v>426</v>
      </c>
      <c r="E128" s="13">
        <v>45350</v>
      </c>
      <c r="F128" t="s">
        <v>389</v>
      </c>
      <c r="G128" s="14" t="s">
        <v>620</v>
      </c>
      <c r="H128" s="14" t="str">
        <f t="shared" si="2"/>
        <v>128_TTO.pdf</v>
      </c>
      <c r="I128" s="14" t="s">
        <v>620</v>
      </c>
      <c r="J128" t="s">
        <v>1115</v>
      </c>
      <c r="K128">
        <v>2016</v>
      </c>
      <c r="L128" t="s">
        <v>1168</v>
      </c>
      <c r="M128" t="s">
        <v>1129</v>
      </c>
      <c r="N128">
        <f t="shared" si="3"/>
        <v>2016</v>
      </c>
      <c r="O128">
        <v>2016</v>
      </c>
      <c r="P128">
        <v>2030</v>
      </c>
      <c r="Q128">
        <v>14</v>
      </c>
    </row>
    <row r="129" spans="1:17" x14ac:dyDescent="0.2">
      <c r="A129" s="4" t="s">
        <v>771</v>
      </c>
      <c r="B129" t="s">
        <v>256</v>
      </c>
      <c r="C129" t="s">
        <v>257</v>
      </c>
      <c r="D129" t="s">
        <v>579</v>
      </c>
      <c r="E129" s="13">
        <v>45350</v>
      </c>
      <c r="F129" t="s">
        <v>389</v>
      </c>
      <c r="G129" s="14" t="s">
        <v>620</v>
      </c>
      <c r="H129" s="14" t="str">
        <f t="shared" si="2"/>
        <v>129_LAO.pdf</v>
      </c>
      <c r="I129" s="14" t="s">
        <v>620</v>
      </c>
      <c r="J129" t="s">
        <v>1115</v>
      </c>
      <c r="K129">
        <v>2021</v>
      </c>
      <c r="L129" t="s">
        <v>1137</v>
      </c>
      <c r="M129" t="s">
        <v>1129</v>
      </c>
      <c r="N129">
        <f t="shared" si="3"/>
        <v>2021</v>
      </c>
      <c r="O129">
        <v>2021</v>
      </c>
      <c r="P129">
        <v>2025</v>
      </c>
      <c r="Q129">
        <v>4</v>
      </c>
    </row>
    <row r="130" spans="1:17" x14ac:dyDescent="0.2">
      <c r="A130" s="4" t="s">
        <v>772</v>
      </c>
      <c r="B130" t="s">
        <v>258</v>
      </c>
      <c r="C130" t="s">
        <v>259</v>
      </c>
      <c r="D130" s="2" t="s">
        <v>407</v>
      </c>
      <c r="E130" s="13">
        <v>45350</v>
      </c>
      <c r="F130" t="s">
        <v>389</v>
      </c>
      <c r="G130" s="14" t="s">
        <v>624</v>
      </c>
      <c r="H130" s="14" t="str">
        <f t="shared" si="2"/>
        <v>130_HND.pdf</v>
      </c>
      <c r="I130" s="14" t="s">
        <v>624</v>
      </c>
      <c r="J130" t="s">
        <v>1115</v>
      </c>
      <c r="K130">
        <v>2022</v>
      </c>
      <c r="L130" t="s">
        <v>1132</v>
      </c>
      <c r="M130" t="s">
        <v>1129</v>
      </c>
      <c r="N130">
        <f t="shared" si="3"/>
        <v>2022</v>
      </c>
      <c r="O130">
        <v>2022</v>
      </c>
      <c r="P130">
        <v>2026</v>
      </c>
      <c r="Q130">
        <v>4</v>
      </c>
    </row>
    <row r="131" spans="1:17" x14ac:dyDescent="0.2">
      <c r="A131" s="4" t="s">
        <v>773</v>
      </c>
      <c r="B131" t="s">
        <v>260</v>
      </c>
      <c r="C131" t="s">
        <v>261</v>
      </c>
      <c r="D131" s="2" t="s">
        <v>421</v>
      </c>
      <c r="E131" s="13">
        <v>45350</v>
      </c>
      <c r="F131" t="s">
        <v>389</v>
      </c>
      <c r="G131" s="14" t="s">
        <v>624</v>
      </c>
      <c r="H131" s="14" t="str">
        <f t="shared" ref="H131:H194" si="4">_xlfn.CONCAT(A131,"_",B131,".pdf")</f>
        <v>131_VEN.pdf</v>
      </c>
      <c r="I131" s="14" t="s">
        <v>624</v>
      </c>
      <c r="J131" t="s">
        <v>1116</v>
      </c>
      <c r="Q131">
        <v>0</v>
      </c>
    </row>
    <row r="132" spans="1:17" x14ac:dyDescent="0.2">
      <c r="A132" s="4" t="s">
        <v>774</v>
      </c>
      <c r="B132" t="s">
        <v>262</v>
      </c>
      <c r="C132" t="s">
        <v>263</v>
      </c>
      <c r="D132" t="s">
        <v>472</v>
      </c>
      <c r="E132" s="13">
        <v>45350</v>
      </c>
      <c r="F132" t="s">
        <v>389</v>
      </c>
      <c r="G132" s="14" t="s">
        <v>620</v>
      </c>
      <c r="H132" s="14" t="str">
        <f t="shared" si="4"/>
        <v>132_BWA.pdf</v>
      </c>
      <c r="I132" s="14" t="s">
        <v>620</v>
      </c>
      <c r="J132" t="s">
        <v>1115</v>
      </c>
      <c r="K132">
        <v>2017</v>
      </c>
      <c r="L132" t="s">
        <v>1161</v>
      </c>
      <c r="M132" t="s">
        <v>1129</v>
      </c>
      <c r="N132">
        <f t="shared" ref="N131:N194" si="5">VALUE(MID(L132,1,4))</f>
        <v>2017</v>
      </c>
      <c r="O132">
        <v>2017</v>
      </c>
      <c r="P132">
        <v>2023</v>
      </c>
      <c r="Q132">
        <v>6</v>
      </c>
    </row>
    <row r="133" spans="1:17" x14ac:dyDescent="0.2">
      <c r="A133" s="4" t="s">
        <v>775</v>
      </c>
      <c r="B133" t="s">
        <v>264</v>
      </c>
      <c r="C133" t="s">
        <v>265</v>
      </c>
      <c r="D133" t="s">
        <v>580</v>
      </c>
      <c r="E133" s="13">
        <v>45350</v>
      </c>
      <c r="F133" t="s">
        <v>389</v>
      </c>
      <c r="G133" s="14" t="s">
        <v>622</v>
      </c>
      <c r="H133" s="14" t="str">
        <f t="shared" si="4"/>
        <v>133_STP.pdf</v>
      </c>
      <c r="I133" s="14" t="s">
        <v>622</v>
      </c>
      <c r="J133" t="s">
        <v>1116</v>
      </c>
      <c r="Q133">
        <v>0</v>
      </c>
    </row>
    <row r="134" spans="1:17" x14ac:dyDescent="0.2">
      <c r="A134" s="4" t="s">
        <v>776</v>
      </c>
      <c r="B134" t="s">
        <v>266</v>
      </c>
      <c r="C134" t="s">
        <v>267</v>
      </c>
      <c r="D134" t="s">
        <v>581</v>
      </c>
      <c r="E134" s="13">
        <v>45350</v>
      </c>
      <c r="F134" t="s">
        <v>389</v>
      </c>
      <c r="G134" s="14" t="s">
        <v>621</v>
      </c>
      <c r="H134" s="14" t="str">
        <f t="shared" si="4"/>
        <v>134_CIV.pdf</v>
      </c>
      <c r="I134" s="14" t="s">
        <v>621</v>
      </c>
      <c r="J134" t="s">
        <v>1116</v>
      </c>
      <c r="Q134">
        <v>0</v>
      </c>
    </row>
    <row r="135" spans="1:17" x14ac:dyDescent="0.2">
      <c r="A135" s="4" t="s">
        <v>777</v>
      </c>
      <c r="B135" t="s">
        <v>268</v>
      </c>
      <c r="C135" t="s">
        <v>269</v>
      </c>
      <c r="D135" s="2" t="s">
        <v>423</v>
      </c>
      <c r="E135" s="13">
        <v>45350</v>
      </c>
      <c r="F135" t="s">
        <v>389</v>
      </c>
      <c r="G135" s="14" t="s">
        <v>620</v>
      </c>
      <c r="H135" s="14" t="str">
        <f t="shared" si="4"/>
        <v>135_BHS.pdf</v>
      </c>
      <c r="I135" s="14" t="s">
        <v>620</v>
      </c>
      <c r="J135" t="s">
        <v>1115</v>
      </c>
      <c r="K135">
        <v>2017</v>
      </c>
      <c r="L135" t="s">
        <v>1169</v>
      </c>
      <c r="M135" t="s">
        <v>1130</v>
      </c>
      <c r="N135">
        <f t="shared" si="5"/>
        <v>2017</v>
      </c>
      <c r="O135">
        <v>2017</v>
      </c>
      <c r="P135">
        <v>2040</v>
      </c>
      <c r="Q135">
        <v>23</v>
      </c>
    </row>
    <row r="136" spans="1:17" x14ac:dyDescent="0.2">
      <c r="A136" s="4" t="s">
        <v>778</v>
      </c>
      <c r="B136" t="s">
        <v>270</v>
      </c>
      <c r="C136" t="s">
        <v>271</v>
      </c>
      <c r="D136" t="s">
        <v>582</v>
      </c>
      <c r="E136" s="13">
        <v>45350</v>
      </c>
      <c r="F136" t="s">
        <v>389</v>
      </c>
      <c r="G136" s="14" t="s">
        <v>638</v>
      </c>
      <c r="H136" s="14" t="str">
        <f t="shared" si="4"/>
        <v>136_MMR.pdf</v>
      </c>
      <c r="I136" s="14" t="s">
        <v>638</v>
      </c>
      <c r="J136" t="s">
        <v>1116</v>
      </c>
      <c r="Q136">
        <v>0</v>
      </c>
    </row>
    <row r="137" spans="1:17" x14ac:dyDescent="0.2">
      <c r="A137" s="4" t="s">
        <v>779</v>
      </c>
      <c r="B137" t="s">
        <v>272</v>
      </c>
      <c r="C137" t="s">
        <v>273</v>
      </c>
      <c r="D137" s="2" t="s">
        <v>431</v>
      </c>
      <c r="E137" s="13">
        <v>45350</v>
      </c>
      <c r="F137" t="s">
        <v>389</v>
      </c>
      <c r="G137" s="14" t="s">
        <v>624</v>
      </c>
      <c r="H137" s="14" t="str">
        <f t="shared" si="4"/>
        <v>137_GTM.pdf</v>
      </c>
      <c r="I137" s="14" t="s">
        <v>624</v>
      </c>
      <c r="J137" t="s">
        <v>1115</v>
      </c>
      <c r="K137">
        <v>2014</v>
      </c>
      <c r="L137">
        <v>2032</v>
      </c>
      <c r="M137" t="s">
        <v>1129</v>
      </c>
      <c r="N137">
        <f t="shared" si="5"/>
        <v>2032</v>
      </c>
      <c r="O137">
        <v>2014</v>
      </c>
      <c r="P137">
        <v>2032</v>
      </c>
      <c r="Q137">
        <v>18</v>
      </c>
    </row>
    <row r="138" spans="1:17" x14ac:dyDescent="0.2">
      <c r="A138" s="4" t="s">
        <v>780</v>
      </c>
      <c r="B138" t="s">
        <v>274</v>
      </c>
      <c r="C138" t="s">
        <v>275</v>
      </c>
      <c r="D138" t="s">
        <v>466</v>
      </c>
      <c r="E138" s="13">
        <v>45350</v>
      </c>
      <c r="F138" t="s">
        <v>389</v>
      </c>
      <c r="G138" s="14" t="s">
        <v>620</v>
      </c>
      <c r="H138" s="14" t="str">
        <f t="shared" si="4"/>
        <v>138_GMB.pdf</v>
      </c>
      <c r="I138" s="14" t="s">
        <v>620</v>
      </c>
      <c r="J138" t="s">
        <v>1115</v>
      </c>
      <c r="K138">
        <v>2018</v>
      </c>
      <c r="L138" t="s">
        <v>1170</v>
      </c>
      <c r="M138" t="s">
        <v>1129</v>
      </c>
      <c r="N138">
        <f t="shared" si="5"/>
        <v>2018</v>
      </c>
      <c r="O138">
        <v>2018</v>
      </c>
      <c r="P138">
        <v>2021</v>
      </c>
      <c r="Q138">
        <v>3</v>
      </c>
    </row>
    <row r="139" spans="1:17" x14ac:dyDescent="0.2">
      <c r="A139" s="4" t="s">
        <v>781</v>
      </c>
      <c r="B139" t="s">
        <v>276</v>
      </c>
      <c r="C139" t="s">
        <v>277</v>
      </c>
      <c r="D139" t="s">
        <v>454</v>
      </c>
      <c r="E139" s="13">
        <v>45350</v>
      </c>
      <c r="F139" t="s">
        <v>389</v>
      </c>
      <c r="G139" s="14" t="s">
        <v>625</v>
      </c>
      <c r="H139" s="14" t="str">
        <f t="shared" si="4"/>
        <v>139_SYR.pdf</v>
      </c>
      <c r="I139" s="14" t="s">
        <v>625</v>
      </c>
      <c r="J139" t="s">
        <v>1115</v>
      </c>
      <c r="K139">
        <v>2020</v>
      </c>
      <c r="L139">
        <v>2030</v>
      </c>
      <c r="M139" t="s">
        <v>1129</v>
      </c>
      <c r="N139">
        <f t="shared" si="5"/>
        <v>2030</v>
      </c>
      <c r="O139">
        <v>2020</v>
      </c>
      <c r="P139">
        <v>2030</v>
      </c>
      <c r="Q139">
        <v>10</v>
      </c>
    </row>
    <row r="140" spans="1:17" x14ac:dyDescent="0.2">
      <c r="A140" s="4" t="s">
        <v>782</v>
      </c>
      <c r="B140" t="s">
        <v>278</v>
      </c>
      <c r="C140" t="s">
        <v>279</v>
      </c>
      <c r="D140" t="s">
        <v>584</v>
      </c>
      <c r="E140" s="13">
        <v>45475</v>
      </c>
      <c r="F140" t="s">
        <v>389</v>
      </c>
      <c r="G140" s="14" t="s">
        <v>621</v>
      </c>
      <c r="H140" s="14" t="str">
        <f t="shared" si="4"/>
        <v>140_MLI.pdf</v>
      </c>
      <c r="I140" s="14" t="s">
        <v>621</v>
      </c>
      <c r="J140" t="s">
        <v>1115</v>
      </c>
      <c r="K140">
        <v>2019</v>
      </c>
      <c r="L140" t="s">
        <v>1136</v>
      </c>
      <c r="M140" t="s">
        <v>1129</v>
      </c>
      <c r="N140">
        <f t="shared" si="5"/>
        <v>2019</v>
      </c>
      <c r="O140">
        <v>2019</v>
      </c>
      <c r="P140">
        <v>2023</v>
      </c>
      <c r="Q140">
        <v>4</v>
      </c>
    </row>
    <row r="141" spans="1:17" x14ac:dyDescent="0.2">
      <c r="A141" s="4" t="s">
        <v>783</v>
      </c>
      <c r="B141" t="s">
        <v>280</v>
      </c>
      <c r="C141" t="s">
        <v>281</v>
      </c>
      <c r="D141" t="s">
        <v>585</v>
      </c>
      <c r="E141" s="13">
        <v>45350</v>
      </c>
      <c r="F141" t="s">
        <v>389</v>
      </c>
      <c r="G141" s="14" t="s">
        <v>620</v>
      </c>
      <c r="H141" s="14" t="str">
        <f t="shared" si="4"/>
        <v>141_SWZ.pdf</v>
      </c>
      <c r="I141" s="14" t="s">
        <v>620</v>
      </c>
      <c r="J141" t="s">
        <v>1115</v>
      </c>
      <c r="K141">
        <v>2023</v>
      </c>
      <c r="L141" t="s">
        <v>1139</v>
      </c>
      <c r="M141" t="s">
        <v>1129</v>
      </c>
      <c r="N141">
        <f t="shared" si="5"/>
        <v>2023</v>
      </c>
      <c r="O141">
        <v>2023</v>
      </c>
      <c r="P141">
        <v>2028</v>
      </c>
      <c r="Q141">
        <v>5</v>
      </c>
    </row>
    <row r="142" spans="1:17" x14ac:dyDescent="0.2">
      <c r="A142" s="4" t="s">
        <v>784</v>
      </c>
      <c r="B142" t="s">
        <v>282</v>
      </c>
      <c r="C142" t="s">
        <v>283</v>
      </c>
      <c r="D142" t="s">
        <v>447</v>
      </c>
      <c r="E142" s="13">
        <v>45350</v>
      </c>
      <c r="F142" t="s">
        <v>389</v>
      </c>
      <c r="G142" s="14" t="s">
        <v>621</v>
      </c>
      <c r="H142" s="14" t="str">
        <f t="shared" si="4"/>
        <v>142_MRT.pdf</v>
      </c>
      <c r="I142" s="14" t="s">
        <v>621</v>
      </c>
      <c r="J142" t="s">
        <v>1115</v>
      </c>
      <c r="K142">
        <v>2018</v>
      </c>
      <c r="L142">
        <v>2030</v>
      </c>
      <c r="M142" t="s">
        <v>1129</v>
      </c>
      <c r="N142">
        <f t="shared" si="5"/>
        <v>2030</v>
      </c>
      <c r="O142">
        <v>2018</v>
      </c>
      <c r="P142">
        <v>2030</v>
      </c>
      <c r="Q142">
        <v>12</v>
      </c>
    </row>
    <row r="143" spans="1:17" x14ac:dyDescent="0.2">
      <c r="A143" s="4" t="s">
        <v>785</v>
      </c>
      <c r="B143" t="s">
        <v>284</v>
      </c>
      <c r="C143" t="s">
        <v>285</v>
      </c>
      <c r="D143" t="s">
        <v>482</v>
      </c>
      <c r="E143" s="13">
        <v>45350</v>
      </c>
      <c r="F143" t="s">
        <v>389</v>
      </c>
      <c r="G143" s="14" t="s">
        <v>620</v>
      </c>
      <c r="H143" s="14" t="str">
        <f t="shared" si="4"/>
        <v>143_TZA.pdf</v>
      </c>
      <c r="I143" s="14" t="s">
        <v>620</v>
      </c>
      <c r="J143" t="s">
        <v>1115</v>
      </c>
      <c r="K143">
        <v>2021</v>
      </c>
      <c r="L143" t="s">
        <v>1142</v>
      </c>
      <c r="M143" t="s">
        <v>1129</v>
      </c>
      <c r="N143">
        <f t="shared" si="5"/>
        <v>2021</v>
      </c>
      <c r="O143">
        <v>2021</v>
      </c>
      <c r="P143">
        <v>2026</v>
      </c>
      <c r="Q143">
        <v>5</v>
      </c>
    </row>
    <row r="144" spans="1:17" x14ac:dyDescent="0.2">
      <c r="A144" s="4" t="s">
        <v>786</v>
      </c>
      <c r="B144" t="s">
        <v>286</v>
      </c>
      <c r="C144" t="s">
        <v>287</v>
      </c>
      <c r="D144" t="s">
        <v>586</v>
      </c>
      <c r="E144" s="13">
        <v>45350</v>
      </c>
      <c r="F144" t="s">
        <v>389</v>
      </c>
      <c r="G144" s="14" t="s">
        <v>620</v>
      </c>
      <c r="H144" s="14" t="str">
        <f t="shared" si="4"/>
        <v>144_MWI.pdf</v>
      </c>
      <c r="I144" s="14" t="s">
        <v>620</v>
      </c>
      <c r="J144" t="s">
        <v>1115</v>
      </c>
      <c r="K144">
        <v>2017</v>
      </c>
      <c r="L144">
        <v>2020</v>
      </c>
      <c r="M144" t="s">
        <v>1129</v>
      </c>
      <c r="N144">
        <f t="shared" si="5"/>
        <v>2020</v>
      </c>
      <c r="O144">
        <v>2017</v>
      </c>
      <c r="P144">
        <v>2020</v>
      </c>
      <c r="Q144">
        <v>3</v>
      </c>
    </row>
    <row r="145" spans="1:17" x14ac:dyDescent="0.2">
      <c r="A145" s="4" t="s">
        <v>787</v>
      </c>
      <c r="B145" t="s">
        <v>288</v>
      </c>
      <c r="C145" t="s">
        <v>289</v>
      </c>
      <c r="D145" t="s">
        <v>587</v>
      </c>
      <c r="E145" s="13">
        <v>45350</v>
      </c>
      <c r="F145" t="s">
        <v>389</v>
      </c>
      <c r="G145" s="14" t="s">
        <v>620</v>
      </c>
      <c r="H145" s="14" t="str">
        <f t="shared" si="4"/>
        <v>145_TGO.pdf</v>
      </c>
      <c r="I145" s="14" t="s">
        <v>620</v>
      </c>
      <c r="J145" t="s">
        <v>1115</v>
      </c>
      <c r="K145">
        <v>2018</v>
      </c>
      <c r="L145" t="s">
        <v>1171</v>
      </c>
      <c r="M145" t="s">
        <v>1129</v>
      </c>
      <c r="N145">
        <f t="shared" si="5"/>
        <v>2018</v>
      </c>
      <c r="O145">
        <v>2018</v>
      </c>
      <c r="P145">
        <v>2022</v>
      </c>
      <c r="Q145">
        <v>4</v>
      </c>
    </row>
    <row r="146" spans="1:17" x14ac:dyDescent="0.2">
      <c r="A146" s="4" t="s">
        <v>788</v>
      </c>
      <c r="B146" t="s">
        <v>290</v>
      </c>
      <c r="C146" t="s">
        <v>291</v>
      </c>
      <c r="D146" t="s">
        <v>488</v>
      </c>
      <c r="E146" s="13">
        <v>45350</v>
      </c>
      <c r="F146" t="s">
        <v>389</v>
      </c>
      <c r="G146" s="14" t="s">
        <v>620</v>
      </c>
      <c r="H146" s="14" t="str">
        <f t="shared" si="4"/>
        <v>146_SLE.pdf</v>
      </c>
      <c r="I146" s="14" t="s">
        <v>620</v>
      </c>
      <c r="J146" t="s">
        <v>1115</v>
      </c>
      <c r="K146">
        <v>2019</v>
      </c>
      <c r="L146" t="s">
        <v>1136</v>
      </c>
      <c r="M146" t="s">
        <v>1129</v>
      </c>
      <c r="N146">
        <f t="shared" si="5"/>
        <v>2019</v>
      </c>
      <c r="O146">
        <v>2019</v>
      </c>
      <c r="P146">
        <v>2023</v>
      </c>
      <c r="Q146">
        <v>4</v>
      </c>
    </row>
    <row r="147" spans="1:17" x14ac:dyDescent="0.2">
      <c r="A147" s="4" t="s">
        <v>789</v>
      </c>
      <c r="B147" t="s">
        <v>292</v>
      </c>
      <c r="C147" t="s">
        <v>293</v>
      </c>
      <c r="D147" t="s">
        <v>479</v>
      </c>
      <c r="E147" s="13">
        <v>45350</v>
      </c>
      <c r="F147" t="s">
        <v>389</v>
      </c>
      <c r="G147" s="14" t="s">
        <v>620</v>
      </c>
      <c r="H147" s="14" t="str">
        <f t="shared" si="4"/>
        <v>147_ZWE.pdf</v>
      </c>
      <c r="I147" s="14" t="s">
        <v>620</v>
      </c>
      <c r="J147" t="s">
        <v>1115</v>
      </c>
      <c r="K147">
        <v>2020</v>
      </c>
      <c r="L147" t="s">
        <v>1137</v>
      </c>
      <c r="M147" t="s">
        <v>1129</v>
      </c>
      <c r="N147">
        <f t="shared" si="5"/>
        <v>2021</v>
      </c>
      <c r="O147">
        <v>2020</v>
      </c>
      <c r="P147">
        <v>2025</v>
      </c>
      <c r="Q147">
        <v>5</v>
      </c>
    </row>
    <row r="148" spans="1:17" x14ac:dyDescent="0.2">
      <c r="A148" s="4" t="s">
        <v>790</v>
      </c>
      <c r="B148" t="s">
        <v>294</v>
      </c>
      <c r="C148" t="s">
        <v>295</v>
      </c>
      <c r="D148" t="s">
        <v>588</v>
      </c>
      <c r="E148" s="13">
        <v>45350</v>
      </c>
      <c r="F148" t="s">
        <v>389</v>
      </c>
      <c r="G148" s="14" t="s">
        <v>621</v>
      </c>
      <c r="H148" s="14" t="str">
        <f t="shared" si="4"/>
        <v>148_GIN.pdf</v>
      </c>
      <c r="I148" s="14" t="s">
        <v>621</v>
      </c>
      <c r="J148" t="s">
        <v>1115</v>
      </c>
      <c r="K148">
        <v>2020</v>
      </c>
      <c r="L148">
        <v>2040</v>
      </c>
      <c r="M148" t="s">
        <v>1130</v>
      </c>
      <c r="N148">
        <f t="shared" si="5"/>
        <v>2040</v>
      </c>
      <c r="O148">
        <v>2020</v>
      </c>
      <c r="P148">
        <v>2040</v>
      </c>
      <c r="Q148">
        <v>20</v>
      </c>
    </row>
    <row r="149" spans="1:17" x14ac:dyDescent="0.2">
      <c r="A149" s="4" t="s">
        <v>791</v>
      </c>
      <c r="B149" t="s">
        <v>296</v>
      </c>
      <c r="C149" t="s">
        <v>297</v>
      </c>
      <c r="D149" t="s">
        <v>465</v>
      </c>
      <c r="E149" s="13">
        <v>45350</v>
      </c>
      <c r="F149" t="s">
        <v>389</v>
      </c>
      <c r="G149" s="14" t="s">
        <v>620</v>
      </c>
      <c r="H149" s="14" t="str">
        <f t="shared" si="4"/>
        <v>149_LSO.pdf</v>
      </c>
      <c r="I149" s="14" t="s">
        <v>620</v>
      </c>
      <c r="J149" t="s">
        <v>1115</v>
      </c>
      <c r="K149">
        <v>2018</v>
      </c>
      <c r="L149" t="s">
        <v>1157</v>
      </c>
      <c r="M149" t="s">
        <v>1129</v>
      </c>
      <c r="N149">
        <f t="shared" si="5"/>
        <v>2018</v>
      </c>
      <c r="O149">
        <v>2018</v>
      </c>
      <c r="P149">
        <v>2023</v>
      </c>
      <c r="Q149">
        <v>5</v>
      </c>
    </row>
    <row r="150" spans="1:17" x14ac:dyDescent="0.2">
      <c r="A150" s="4" t="s">
        <v>792</v>
      </c>
      <c r="B150" t="s">
        <v>298</v>
      </c>
      <c r="C150" t="s">
        <v>299</v>
      </c>
      <c r="D150" s="2" t="s">
        <v>461</v>
      </c>
      <c r="E150" s="13">
        <v>45350</v>
      </c>
      <c r="F150" t="s">
        <v>389</v>
      </c>
      <c r="G150" s="14" t="s">
        <v>620</v>
      </c>
      <c r="H150" s="14" t="str">
        <f t="shared" si="4"/>
        <v>150_ZMB.pdf</v>
      </c>
      <c r="I150" s="14" t="s">
        <v>620</v>
      </c>
      <c r="J150" t="s">
        <v>1115</v>
      </c>
      <c r="K150">
        <v>2022</v>
      </c>
      <c r="L150" t="s">
        <v>1132</v>
      </c>
      <c r="M150" t="s">
        <v>1129</v>
      </c>
      <c r="N150">
        <f t="shared" si="5"/>
        <v>2022</v>
      </c>
      <c r="O150">
        <v>2022</v>
      </c>
      <c r="P150">
        <v>2026</v>
      </c>
      <c r="Q150">
        <v>4</v>
      </c>
    </row>
    <row r="151" spans="1:17" x14ac:dyDescent="0.2">
      <c r="A151" s="4" t="s">
        <v>793</v>
      </c>
      <c r="B151" t="s">
        <v>300</v>
      </c>
      <c r="C151" t="s">
        <v>301</v>
      </c>
      <c r="D151" t="s">
        <v>589</v>
      </c>
      <c r="E151" s="13">
        <v>45350</v>
      </c>
      <c r="F151" t="s">
        <v>389</v>
      </c>
      <c r="G151" s="14" t="s">
        <v>621</v>
      </c>
      <c r="H151" s="14" t="str">
        <f t="shared" si="4"/>
        <v>151_BDI.pdf</v>
      </c>
      <c r="I151" s="14" t="s">
        <v>621</v>
      </c>
      <c r="J151" t="s">
        <v>1115</v>
      </c>
      <c r="K151">
        <v>2018</v>
      </c>
      <c r="L151" t="s">
        <v>1172</v>
      </c>
      <c r="M151" t="s">
        <v>1129</v>
      </c>
      <c r="N151">
        <f t="shared" si="5"/>
        <v>2018</v>
      </c>
      <c r="O151">
        <v>2018</v>
      </c>
      <c r="P151">
        <v>2027</v>
      </c>
      <c r="Q151">
        <v>9</v>
      </c>
    </row>
    <row r="152" spans="1:17" x14ac:dyDescent="0.2">
      <c r="A152" s="4" t="s">
        <v>794</v>
      </c>
      <c r="B152" t="s">
        <v>302</v>
      </c>
      <c r="C152" t="s">
        <v>303</v>
      </c>
      <c r="D152" t="s">
        <v>481</v>
      </c>
      <c r="E152" s="13">
        <v>45350</v>
      </c>
      <c r="F152" t="s">
        <v>389</v>
      </c>
      <c r="G152" s="14" t="s">
        <v>620</v>
      </c>
      <c r="H152" s="14" t="str">
        <f t="shared" si="4"/>
        <v>152_PNG.pdf</v>
      </c>
      <c r="I152" s="14" t="s">
        <v>620</v>
      </c>
      <c r="J152" t="s">
        <v>1115</v>
      </c>
      <c r="K152">
        <v>2010</v>
      </c>
      <c r="L152" t="s">
        <v>1166</v>
      </c>
      <c r="M152" t="s">
        <v>1130</v>
      </c>
      <c r="N152">
        <f t="shared" si="5"/>
        <v>2010</v>
      </c>
      <c r="O152">
        <v>2010</v>
      </c>
      <c r="P152">
        <v>2030</v>
      </c>
      <c r="Q152">
        <v>20</v>
      </c>
    </row>
    <row r="153" spans="1:17" x14ac:dyDescent="0.2">
      <c r="A153" s="4" t="s">
        <v>795</v>
      </c>
      <c r="B153" t="s">
        <v>304</v>
      </c>
      <c r="C153" t="s">
        <v>305</v>
      </c>
      <c r="D153" t="s">
        <v>590</v>
      </c>
      <c r="E153" s="13">
        <v>45350</v>
      </c>
      <c r="F153" t="s">
        <v>389</v>
      </c>
      <c r="G153" s="14" t="s">
        <v>622</v>
      </c>
      <c r="H153" s="14" t="str">
        <f t="shared" si="4"/>
        <v>153_MOZ.pdf</v>
      </c>
      <c r="I153" s="14" t="s">
        <v>622</v>
      </c>
      <c r="J153" t="s">
        <v>1115</v>
      </c>
      <c r="K153">
        <v>2014</v>
      </c>
      <c r="L153" t="s">
        <v>1173</v>
      </c>
      <c r="M153" t="s">
        <v>1130</v>
      </c>
      <c r="N153">
        <f t="shared" si="5"/>
        <v>2015</v>
      </c>
      <c r="O153">
        <v>2014</v>
      </c>
      <c r="P153">
        <v>2035</v>
      </c>
      <c r="Q153">
        <v>21</v>
      </c>
    </row>
    <row r="154" spans="1:17" x14ac:dyDescent="0.2">
      <c r="A154" s="4" t="s">
        <v>796</v>
      </c>
      <c r="B154" t="s">
        <v>306</v>
      </c>
      <c r="C154" t="s">
        <v>307</v>
      </c>
      <c r="D154" s="2" t="s">
        <v>591</v>
      </c>
      <c r="E154" s="13">
        <v>45474</v>
      </c>
      <c r="F154" t="s">
        <v>389</v>
      </c>
      <c r="G154" s="14" t="s">
        <v>620</v>
      </c>
      <c r="H154" s="14" t="str">
        <f t="shared" si="4"/>
        <v>154_DJI.pdf</v>
      </c>
      <c r="I154" s="14" t="s">
        <v>620</v>
      </c>
      <c r="J154" t="s">
        <v>1115</v>
      </c>
      <c r="L154">
        <v>2035</v>
      </c>
      <c r="M154" t="s">
        <v>1130</v>
      </c>
      <c r="N154">
        <f t="shared" si="5"/>
        <v>2035</v>
      </c>
      <c r="P154">
        <v>2035</v>
      </c>
    </row>
    <row r="155" spans="1:17" x14ac:dyDescent="0.2">
      <c r="A155" s="4" t="s">
        <v>797</v>
      </c>
      <c r="B155" t="s">
        <v>308</v>
      </c>
      <c r="C155" t="s">
        <v>309</v>
      </c>
      <c r="D155" t="s">
        <v>480</v>
      </c>
      <c r="E155" s="13">
        <v>45350</v>
      </c>
      <c r="F155" t="s">
        <v>389</v>
      </c>
      <c r="G155" s="14" t="s">
        <v>620</v>
      </c>
      <c r="H155" s="14" t="str">
        <f t="shared" si="4"/>
        <v>155_COG.pdf</v>
      </c>
      <c r="I155" s="14" t="s">
        <v>620</v>
      </c>
      <c r="J155" t="s">
        <v>1115</v>
      </c>
      <c r="K155">
        <v>2012</v>
      </c>
      <c r="L155" t="s">
        <v>1174</v>
      </c>
      <c r="M155" t="s">
        <v>1129</v>
      </c>
      <c r="N155">
        <f t="shared" si="5"/>
        <v>2012</v>
      </c>
      <c r="O155">
        <v>2012</v>
      </c>
      <c r="P155">
        <v>2016</v>
      </c>
      <c r="Q155">
        <v>4</v>
      </c>
    </row>
    <row r="156" spans="1:17" x14ac:dyDescent="0.2">
      <c r="A156" s="4" t="s">
        <v>798</v>
      </c>
      <c r="B156" t="s">
        <v>310</v>
      </c>
      <c r="C156" t="s">
        <v>311</v>
      </c>
      <c r="D156" t="s">
        <v>433</v>
      </c>
      <c r="E156" s="13">
        <v>45350</v>
      </c>
      <c r="F156" t="s">
        <v>389</v>
      </c>
      <c r="G156" s="14" t="s">
        <v>639</v>
      </c>
      <c r="H156" s="14" t="str">
        <f t="shared" si="4"/>
        <v>156_HTI.pdf</v>
      </c>
      <c r="I156" s="14" t="s">
        <v>639</v>
      </c>
      <c r="J156" t="s">
        <v>1116</v>
      </c>
      <c r="Q156">
        <v>0</v>
      </c>
    </row>
    <row r="157" spans="1:17" x14ac:dyDescent="0.2">
      <c r="A157" s="4" t="s">
        <v>799</v>
      </c>
      <c r="B157" t="s">
        <v>312</v>
      </c>
      <c r="C157" t="s">
        <v>313</v>
      </c>
      <c r="D157" t="s">
        <v>592</v>
      </c>
      <c r="E157" s="13">
        <v>45350</v>
      </c>
      <c r="F157" t="s">
        <v>389</v>
      </c>
      <c r="G157" s="14" t="s">
        <v>621</v>
      </c>
      <c r="H157" s="14" t="str">
        <f t="shared" si="4"/>
        <v>157_BFA.pdf</v>
      </c>
      <c r="I157" s="14" t="s">
        <v>621</v>
      </c>
      <c r="J157" t="s">
        <v>1115</v>
      </c>
      <c r="K157">
        <v>2019</v>
      </c>
      <c r="L157" t="s">
        <v>1141</v>
      </c>
      <c r="M157" t="s">
        <v>1129</v>
      </c>
      <c r="N157">
        <f t="shared" si="5"/>
        <v>2020</v>
      </c>
      <c r="O157">
        <v>2019</v>
      </c>
      <c r="P157">
        <v>2025</v>
      </c>
      <c r="Q157">
        <v>6</v>
      </c>
    </row>
    <row r="158" spans="1:17" x14ac:dyDescent="0.2">
      <c r="A158" s="4" t="s">
        <v>800</v>
      </c>
      <c r="B158" t="s">
        <v>314</v>
      </c>
      <c r="C158" t="s">
        <v>315</v>
      </c>
      <c r="D158" t="s">
        <v>593</v>
      </c>
      <c r="E158" s="13">
        <v>45350</v>
      </c>
      <c r="F158" t="s">
        <v>389</v>
      </c>
      <c r="G158" s="14" t="s">
        <v>621</v>
      </c>
      <c r="H158" s="14" t="str">
        <f t="shared" si="4"/>
        <v>158_COM.pdf</v>
      </c>
      <c r="I158" s="14" t="s">
        <v>621</v>
      </c>
      <c r="J158" t="s">
        <v>1115</v>
      </c>
      <c r="K158">
        <v>2018</v>
      </c>
      <c r="L158" t="s">
        <v>1170</v>
      </c>
      <c r="M158" t="s">
        <v>1129</v>
      </c>
      <c r="N158">
        <f t="shared" si="5"/>
        <v>2018</v>
      </c>
      <c r="O158">
        <v>2018</v>
      </c>
      <c r="P158">
        <v>2021</v>
      </c>
      <c r="Q158">
        <v>3</v>
      </c>
    </row>
    <row r="159" spans="1:17" x14ac:dyDescent="0.2">
      <c r="A159" s="4" t="s">
        <v>801</v>
      </c>
      <c r="B159" t="s">
        <v>316</v>
      </c>
      <c r="C159" t="s">
        <v>317</v>
      </c>
      <c r="D159" t="s">
        <v>594</v>
      </c>
      <c r="E159" s="13">
        <v>45393</v>
      </c>
      <c r="F159" t="s">
        <v>389</v>
      </c>
      <c r="G159" s="14" t="s">
        <v>622</v>
      </c>
      <c r="H159" s="14" t="str">
        <f t="shared" si="4"/>
        <v>159_AGO.pdf</v>
      </c>
      <c r="I159" s="14" t="s">
        <v>622</v>
      </c>
      <c r="J159" t="s">
        <v>1115</v>
      </c>
      <c r="K159">
        <v>2007</v>
      </c>
      <c r="L159">
        <v>2025</v>
      </c>
      <c r="M159" t="s">
        <v>1130</v>
      </c>
      <c r="N159">
        <f t="shared" si="5"/>
        <v>2025</v>
      </c>
      <c r="O159">
        <v>2007</v>
      </c>
      <c r="P159">
        <v>2025</v>
      </c>
      <c r="Q159">
        <v>18</v>
      </c>
    </row>
    <row r="160" spans="1:17" x14ac:dyDescent="0.2">
      <c r="A160" s="4" t="s">
        <v>802</v>
      </c>
      <c r="B160" t="s">
        <v>318</v>
      </c>
      <c r="C160" t="s">
        <v>319</v>
      </c>
      <c r="D160" t="s">
        <v>595</v>
      </c>
      <c r="E160" s="13">
        <v>45475</v>
      </c>
      <c r="F160" t="s">
        <v>389</v>
      </c>
      <c r="G160" s="14" t="s">
        <v>621</v>
      </c>
      <c r="H160" s="14" t="str">
        <f t="shared" si="4"/>
        <v>160_MDG.pdf</v>
      </c>
      <c r="I160" s="14" t="s">
        <v>621</v>
      </c>
      <c r="J160" t="s">
        <v>1115</v>
      </c>
      <c r="L160" t="s">
        <v>1124</v>
      </c>
      <c r="M160" t="s">
        <v>1129</v>
      </c>
      <c r="N160">
        <f t="shared" si="5"/>
        <v>2015</v>
      </c>
      <c r="O160">
        <v>2015</v>
      </c>
      <c r="P160">
        <v>2019</v>
      </c>
      <c r="Q160">
        <v>4</v>
      </c>
    </row>
    <row r="161" spans="1:17" x14ac:dyDescent="0.2">
      <c r="A161" s="4" t="s">
        <v>803</v>
      </c>
      <c r="B161" t="s">
        <v>320</v>
      </c>
      <c r="C161" t="s">
        <v>321</v>
      </c>
      <c r="D161" t="s">
        <v>596</v>
      </c>
      <c r="E161" s="13">
        <v>45350</v>
      </c>
      <c r="F161" t="s">
        <v>389</v>
      </c>
      <c r="G161" s="14" t="s">
        <v>620</v>
      </c>
      <c r="H161" s="14" t="str">
        <f t="shared" si="4"/>
        <v>161_LBR.pdf</v>
      </c>
      <c r="I161" s="14" t="s">
        <v>620</v>
      </c>
      <c r="J161" t="s">
        <v>1115</v>
      </c>
      <c r="K161">
        <v>2022</v>
      </c>
      <c r="L161">
        <v>2030</v>
      </c>
      <c r="M161" t="s">
        <v>1129</v>
      </c>
      <c r="N161">
        <f t="shared" si="5"/>
        <v>2030</v>
      </c>
      <c r="O161">
        <v>2022</v>
      </c>
      <c r="P161">
        <v>2030</v>
      </c>
      <c r="Q161">
        <v>8</v>
      </c>
    </row>
    <row r="162" spans="1:17" x14ac:dyDescent="0.2">
      <c r="A162" s="4" t="s">
        <v>804</v>
      </c>
      <c r="B162" t="s">
        <v>322</v>
      </c>
      <c r="C162" t="s">
        <v>323</v>
      </c>
      <c r="D162" t="s">
        <v>597</v>
      </c>
      <c r="E162" s="13">
        <v>45350</v>
      </c>
      <c r="F162" t="s">
        <v>389</v>
      </c>
      <c r="G162" s="14" t="s">
        <v>620</v>
      </c>
      <c r="H162" s="14" t="str">
        <f t="shared" si="4"/>
        <v>162_AFG.pdf</v>
      </c>
      <c r="I162" s="14" t="s">
        <v>620</v>
      </c>
      <c r="J162" t="s">
        <v>1115</v>
      </c>
      <c r="K162">
        <v>2005</v>
      </c>
      <c r="L162">
        <v>2020</v>
      </c>
      <c r="M162" t="s">
        <v>1130</v>
      </c>
      <c r="N162">
        <f t="shared" si="5"/>
        <v>2020</v>
      </c>
      <c r="O162">
        <v>2005</v>
      </c>
      <c r="P162">
        <v>2020</v>
      </c>
      <c r="Q162">
        <v>15</v>
      </c>
    </row>
    <row r="163" spans="1:17" x14ac:dyDescent="0.2">
      <c r="A163" s="4" t="s">
        <v>805</v>
      </c>
      <c r="B163" t="s">
        <v>324</v>
      </c>
      <c r="C163" t="s">
        <v>325</v>
      </c>
      <c r="D163" s="2" t="s">
        <v>453</v>
      </c>
      <c r="E163" s="13">
        <v>45350</v>
      </c>
      <c r="F163" t="s">
        <v>389</v>
      </c>
      <c r="G163" s="14" t="s">
        <v>620</v>
      </c>
      <c r="H163" s="14" t="str">
        <f t="shared" si="4"/>
        <v>163_SDN.pdf</v>
      </c>
      <c r="I163" s="14" t="s">
        <v>620</v>
      </c>
      <c r="J163" t="s">
        <v>1115</v>
      </c>
      <c r="K163">
        <v>2007</v>
      </c>
      <c r="L163" t="s">
        <v>1175</v>
      </c>
      <c r="M163" t="s">
        <v>1130</v>
      </c>
      <c r="N163">
        <f t="shared" si="5"/>
        <v>2007</v>
      </c>
      <c r="O163">
        <v>2007</v>
      </c>
      <c r="P163">
        <v>2030</v>
      </c>
      <c r="Q163">
        <v>23</v>
      </c>
    </row>
    <row r="164" spans="1:17" x14ac:dyDescent="0.2">
      <c r="A164" s="4" t="s">
        <v>806</v>
      </c>
      <c r="B164" t="s">
        <v>326</v>
      </c>
      <c r="C164" t="s">
        <v>327</v>
      </c>
      <c r="D164" t="s">
        <v>598</v>
      </c>
      <c r="E164" s="13">
        <v>45393</v>
      </c>
      <c r="F164" t="s">
        <v>389</v>
      </c>
      <c r="G164" s="14" t="s">
        <v>621</v>
      </c>
      <c r="H164" s="14" t="str">
        <f t="shared" si="4"/>
        <v>164_NER.pdf</v>
      </c>
      <c r="I164" s="14" t="s">
        <v>621</v>
      </c>
      <c r="J164" t="s">
        <v>1115</v>
      </c>
      <c r="K164">
        <v>2022</v>
      </c>
      <c r="L164" t="s">
        <v>1132</v>
      </c>
      <c r="M164" t="s">
        <v>1129</v>
      </c>
      <c r="N164">
        <f t="shared" si="5"/>
        <v>2022</v>
      </c>
      <c r="O164">
        <v>2022</v>
      </c>
      <c r="P164">
        <v>2026</v>
      </c>
      <c r="Q164">
        <v>4</v>
      </c>
    </row>
    <row r="165" spans="1:17" x14ac:dyDescent="0.2">
      <c r="A165" s="4" t="s">
        <v>807</v>
      </c>
      <c r="B165" t="s">
        <v>328</v>
      </c>
      <c r="C165" t="s">
        <v>329</v>
      </c>
      <c r="D165" t="s">
        <v>452</v>
      </c>
      <c r="E165" s="13">
        <v>45350</v>
      </c>
      <c r="F165" t="s">
        <v>389</v>
      </c>
      <c r="G165" s="14" t="s">
        <v>620</v>
      </c>
      <c r="H165" s="14" t="str">
        <f t="shared" si="4"/>
        <v>165_SOM.pdf</v>
      </c>
      <c r="I165" s="14" t="s">
        <v>620</v>
      </c>
      <c r="J165" t="s">
        <v>1115</v>
      </c>
      <c r="K165">
        <v>2020</v>
      </c>
      <c r="L165" t="s">
        <v>1176</v>
      </c>
      <c r="M165" t="s">
        <v>1129</v>
      </c>
      <c r="N165">
        <f t="shared" si="5"/>
        <v>2020</v>
      </c>
      <c r="O165">
        <v>2020</v>
      </c>
      <c r="P165">
        <v>2024</v>
      </c>
      <c r="Q165">
        <v>4</v>
      </c>
    </row>
    <row r="166" spans="1:17" x14ac:dyDescent="0.2">
      <c r="A166" s="4" t="s">
        <v>808</v>
      </c>
      <c r="B166" t="s">
        <v>330</v>
      </c>
      <c r="C166" t="s">
        <v>331</v>
      </c>
      <c r="D166" t="s">
        <v>458</v>
      </c>
      <c r="E166" s="13">
        <v>45350</v>
      </c>
      <c r="F166" t="s">
        <v>389</v>
      </c>
      <c r="G166" s="14" t="s">
        <v>620</v>
      </c>
      <c r="H166" s="14" t="str">
        <f t="shared" si="4"/>
        <v>166_YEM.pdf</v>
      </c>
      <c r="I166" s="14" t="s">
        <v>620</v>
      </c>
      <c r="J166" t="s">
        <v>1115</v>
      </c>
      <c r="K166">
        <v>2020</v>
      </c>
      <c r="L166">
        <v>2025</v>
      </c>
      <c r="M166" t="s">
        <v>1129</v>
      </c>
      <c r="N166">
        <f t="shared" si="5"/>
        <v>2025</v>
      </c>
      <c r="O166">
        <v>2020</v>
      </c>
      <c r="P166">
        <v>2025</v>
      </c>
      <c r="Q166">
        <v>5</v>
      </c>
    </row>
    <row r="167" spans="1:17" x14ac:dyDescent="0.2">
      <c r="A167" s="4" t="s">
        <v>809</v>
      </c>
      <c r="B167" t="s">
        <v>332</v>
      </c>
      <c r="C167" t="s">
        <v>333</v>
      </c>
      <c r="D167" s="2" t="s">
        <v>460</v>
      </c>
      <c r="E167" s="13">
        <v>45350</v>
      </c>
      <c r="F167" t="s">
        <v>389</v>
      </c>
      <c r="G167" s="14" t="s">
        <v>620</v>
      </c>
      <c r="H167" s="14" t="str">
        <f t="shared" si="4"/>
        <v>167_TCD.pdf</v>
      </c>
      <c r="I167" s="14" t="s">
        <v>620</v>
      </c>
      <c r="J167" t="s">
        <v>1115</v>
      </c>
      <c r="K167">
        <v>2017</v>
      </c>
      <c r="L167" t="s">
        <v>1140</v>
      </c>
      <c r="M167" t="s">
        <v>1129</v>
      </c>
      <c r="N167">
        <f t="shared" si="5"/>
        <v>2017</v>
      </c>
      <c r="O167">
        <v>2017</v>
      </c>
      <c r="P167">
        <v>2021</v>
      </c>
      <c r="Q167">
        <v>4</v>
      </c>
    </row>
    <row r="168" spans="1:17" x14ac:dyDescent="0.2">
      <c r="A168" s="4" t="s">
        <v>810</v>
      </c>
      <c r="B168" t="s">
        <v>334</v>
      </c>
      <c r="C168" t="s">
        <v>335</v>
      </c>
      <c r="D168" t="s">
        <v>599</v>
      </c>
      <c r="E168" s="13">
        <v>45350</v>
      </c>
      <c r="F168" t="s">
        <v>389</v>
      </c>
      <c r="G168" s="14" t="s">
        <v>621</v>
      </c>
      <c r="H168" s="14" t="str">
        <f t="shared" si="4"/>
        <v>168_CAF.pdf</v>
      </c>
      <c r="I168" s="14" t="s">
        <v>621</v>
      </c>
      <c r="J168" t="s">
        <v>1115</v>
      </c>
      <c r="K168">
        <v>2017</v>
      </c>
      <c r="L168" t="s">
        <v>1140</v>
      </c>
      <c r="M168" t="s">
        <v>1129</v>
      </c>
      <c r="N168">
        <f t="shared" si="5"/>
        <v>2017</v>
      </c>
      <c r="O168">
        <v>2017</v>
      </c>
      <c r="P168">
        <v>2021</v>
      </c>
      <c r="Q168">
        <v>4</v>
      </c>
    </row>
    <row r="169" spans="1:17" x14ac:dyDescent="0.2">
      <c r="A169" s="4" t="s">
        <v>811</v>
      </c>
      <c r="B169" t="s">
        <v>336</v>
      </c>
      <c r="C169" t="s">
        <v>337</v>
      </c>
      <c r="D169" t="s">
        <v>600</v>
      </c>
      <c r="E169" s="13">
        <v>45350</v>
      </c>
      <c r="F169" t="s">
        <v>389</v>
      </c>
      <c r="G169" s="14" t="s">
        <v>620</v>
      </c>
      <c r="H169" s="14" t="str">
        <f t="shared" si="4"/>
        <v>169_SSD.pdf</v>
      </c>
      <c r="I169" s="14" t="s">
        <v>620</v>
      </c>
      <c r="J169" t="s">
        <v>1115</v>
      </c>
      <c r="K169">
        <v>2021</v>
      </c>
      <c r="L169" t="s">
        <v>1143</v>
      </c>
      <c r="M169" t="s">
        <v>1129</v>
      </c>
      <c r="N169">
        <f t="shared" si="5"/>
        <v>2021</v>
      </c>
      <c r="O169">
        <v>2021</v>
      </c>
      <c r="P169">
        <v>2024</v>
      </c>
      <c r="Q169">
        <v>3</v>
      </c>
    </row>
    <row r="170" spans="1:17" x14ac:dyDescent="0.2">
      <c r="A170" s="4" t="s">
        <v>812</v>
      </c>
      <c r="B170" t="s">
        <v>338</v>
      </c>
      <c r="C170" t="s">
        <v>339</v>
      </c>
      <c r="D170" t="s">
        <v>601</v>
      </c>
      <c r="E170" s="13">
        <v>45350</v>
      </c>
      <c r="F170" t="s">
        <v>389</v>
      </c>
      <c r="G170" s="14" t="s">
        <v>640</v>
      </c>
      <c r="H170" s="14" t="str">
        <f t="shared" si="4"/>
        <v>170_AND.pdf</v>
      </c>
      <c r="I170" s="14" t="s">
        <v>640</v>
      </c>
      <c r="J170" t="s">
        <v>1115</v>
      </c>
      <c r="K170">
        <v>2022</v>
      </c>
      <c r="L170">
        <v>2030</v>
      </c>
      <c r="M170" t="s">
        <v>1129</v>
      </c>
      <c r="N170">
        <f t="shared" si="5"/>
        <v>2030</v>
      </c>
      <c r="O170">
        <v>2022</v>
      </c>
      <c r="P170">
        <v>2030</v>
      </c>
      <c r="Q170">
        <v>8</v>
      </c>
    </row>
    <row r="171" spans="1:17" x14ac:dyDescent="0.2">
      <c r="A171" s="4" t="s">
        <v>813</v>
      </c>
      <c r="B171" t="s">
        <v>340</v>
      </c>
      <c r="C171" t="s">
        <v>341</v>
      </c>
      <c r="D171" s="2" t="s">
        <v>425</v>
      </c>
      <c r="E171" s="13">
        <v>45350</v>
      </c>
      <c r="F171" t="s">
        <v>389</v>
      </c>
      <c r="G171" s="14" t="s">
        <v>620</v>
      </c>
      <c r="H171" s="14" t="str">
        <f t="shared" si="4"/>
        <v>171_ATG.pdf</v>
      </c>
      <c r="I171" s="14" t="s">
        <v>620</v>
      </c>
      <c r="J171" t="s">
        <v>1115</v>
      </c>
      <c r="K171">
        <v>2016</v>
      </c>
      <c r="L171" t="s">
        <v>1155</v>
      </c>
      <c r="M171" t="s">
        <v>1129</v>
      </c>
      <c r="N171">
        <f t="shared" si="5"/>
        <v>2016</v>
      </c>
      <c r="O171">
        <v>2016</v>
      </c>
      <c r="P171">
        <v>2020</v>
      </c>
      <c r="Q171">
        <v>4</v>
      </c>
    </row>
    <row r="172" spans="1:17" x14ac:dyDescent="0.2">
      <c r="A172" s="4" t="s">
        <v>814</v>
      </c>
      <c r="B172" t="s">
        <v>342</v>
      </c>
      <c r="C172" t="s">
        <v>343</v>
      </c>
      <c r="D172" t="s">
        <v>603</v>
      </c>
      <c r="E172" s="13">
        <v>45350</v>
      </c>
      <c r="F172" t="s">
        <v>389</v>
      </c>
      <c r="G172" s="14" t="s">
        <v>620</v>
      </c>
      <c r="H172" s="14" t="str">
        <f t="shared" si="4"/>
        <v>172_DMA.pdf</v>
      </c>
      <c r="I172" s="14" t="s">
        <v>620</v>
      </c>
      <c r="J172" t="s">
        <v>1115</v>
      </c>
      <c r="K172">
        <v>2017</v>
      </c>
      <c r="L172">
        <v>2030</v>
      </c>
      <c r="M172" t="s">
        <v>1129</v>
      </c>
      <c r="N172">
        <f t="shared" si="5"/>
        <v>2030</v>
      </c>
      <c r="O172">
        <v>2017</v>
      </c>
      <c r="P172">
        <v>2030</v>
      </c>
      <c r="Q172">
        <v>13</v>
      </c>
    </row>
    <row r="173" spans="1:17" x14ac:dyDescent="0.2">
      <c r="A173" s="4" t="s">
        <v>815</v>
      </c>
      <c r="B173" t="s">
        <v>344</v>
      </c>
      <c r="C173" t="s">
        <v>345</v>
      </c>
      <c r="D173" t="s">
        <v>604</v>
      </c>
      <c r="E173" s="13">
        <v>45350</v>
      </c>
      <c r="F173" t="s">
        <v>389</v>
      </c>
      <c r="G173" s="14" t="s">
        <v>620</v>
      </c>
      <c r="H173" s="14" t="str">
        <f t="shared" si="4"/>
        <v>173_ERI.pdf</v>
      </c>
      <c r="I173" s="14" t="s">
        <v>620</v>
      </c>
      <c r="J173" t="s">
        <v>1115</v>
      </c>
      <c r="K173">
        <v>2020</v>
      </c>
      <c r="L173">
        <v>2030</v>
      </c>
      <c r="M173" t="s">
        <v>1129</v>
      </c>
      <c r="N173">
        <f t="shared" si="5"/>
        <v>2030</v>
      </c>
      <c r="O173">
        <v>2020</v>
      </c>
      <c r="P173">
        <v>2030</v>
      </c>
      <c r="Q173">
        <v>10</v>
      </c>
    </row>
    <row r="174" spans="1:17" x14ac:dyDescent="0.2">
      <c r="A174" s="4" t="s">
        <v>816</v>
      </c>
      <c r="B174" t="s">
        <v>346</v>
      </c>
      <c r="C174" t="s">
        <v>347</v>
      </c>
      <c r="D174" t="s">
        <v>605</v>
      </c>
      <c r="E174" s="13">
        <v>45350</v>
      </c>
      <c r="F174" t="s">
        <v>389</v>
      </c>
      <c r="G174" s="14" t="s">
        <v>620</v>
      </c>
      <c r="H174" s="14" t="str">
        <f t="shared" si="4"/>
        <v>174_FSM.pdf</v>
      </c>
      <c r="I174" s="14" t="s">
        <v>620</v>
      </c>
      <c r="J174" t="s">
        <v>1115</v>
      </c>
      <c r="K174">
        <v>2004</v>
      </c>
      <c r="L174" t="s">
        <v>1177</v>
      </c>
      <c r="M174" t="s">
        <v>1130</v>
      </c>
      <c r="N174">
        <f t="shared" si="5"/>
        <v>2004</v>
      </c>
      <c r="O174">
        <v>2004</v>
      </c>
      <c r="P174">
        <v>2023</v>
      </c>
      <c r="Q174">
        <v>19</v>
      </c>
    </row>
    <row r="175" spans="1:17" x14ac:dyDescent="0.2">
      <c r="A175" s="4" t="s">
        <v>817</v>
      </c>
      <c r="B175" t="s">
        <v>348</v>
      </c>
      <c r="C175" t="s">
        <v>349</v>
      </c>
      <c r="D175" t="s">
        <v>606</v>
      </c>
      <c r="E175" s="13">
        <v>45350</v>
      </c>
      <c r="F175" t="s">
        <v>389</v>
      </c>
      <c r="G175" s="14" t="s">
        <v>622</v>
      </c>
      <c r="H175" s="14" t="str">
        <f t="shared" si="4"/>
        <v>175_GNB.pdf</v>
      </c>
      <c r="I175" s="14" t="s">
        <v>622</v>
      </c>
      <c r="J175" t="s">
        <v>1115</v>
      </c>
      <c r="K175">
        <v>2020</v>
      </c>
      <c r="L175" t="s">
        <v>1178</v>
      </c>
      <c r="M175" t="s">
        <v>1129</v>
      </c>
      <c r="N175">
        <f t="shared" si="5"/>
        <v>2020</v>
      </c>
      <c r="O175">
        <v>2020</v>
      </c>
      <c r="P175">
        <v>2023</v>
      </c>
      <c r="Q175">
        <v>3</v>
      </c>
    </row>
    <row r="176" spans="1:17" x14ac:dyDescent="0.2">
      <c r="A176" s="4" t="s">
        <v>818</v>
      </c>
      <c r="B176" t="s">
        <v>350</v>
      </c>
      <c r="C176" t="s">
        <v>351</v>
      </c>
      <c r="D176" t="s">
        <v>607</v>
      </c>
      <c r="E176" s="13">
        <v>45350</v>
      </c>
      <c r="F176" t="s">
        <v>389</v>
      </c>
      <c r="G176" s="14" t="s">
        <v>620</v>
      </c>
      <c r="H176" s="14" t="str">
        <f t="shared" si="4"/>
        <v>176_GNQ.pdf</v>
      </c>
      <c r="I176" s="14" t="s">
        <v>620</v>
      </c>
      <c r="J176" t="s">
        <v>1115</v>
      </c>
      <c r="K176">
        <v>2008</v>
      </c>
      <c r="L176" t="s">
        <v>1179</v>
      </c>
      <c r="M176" t="s">
        <v>1130</v>
      </c>
      <c r="N176">
        <f t="shared" si="5"/>
        <v>2008</v>
      </c>
      <c r="O176">
        <v>2008</v>
      </c>
      <c r="P176">
        <v>2020</v>
      </c>
      <c r="Q176">
        <v>12</v>
      </c>
    </row>
    <row r="177" spans="1:17" x14ac:dyDescent="0.2">
      <c r="A177" s="4" t="s">
        <v>819</v>
      </c>
      <c r="B177" t="s">
        <v>352</v>
      </c>
      <c r="C177" t="s">
        <v>353</v>
      </c>
      <c r="D177" s="2" t="s">
        <v>417</v>
      </c>
      <c r="E177" s="13">
        <v>45350</v>
      </c>
      <c r="F177" t="s">
        <v>389</v>
      </c>
      <c r="G177" s="14" t="s">
        <v>620</v>
      </c>
      <c r="H177" s="14" t="str">
        <f t="shared" si="4"/>
        <v>177_GRD.pdf</v>
      </c>
      <c r="I177" s="14" t="s">
        <v>620</v>
      </c>
      <c r="J177" t="s">
        <v>1115</v>
      </c>
      <c r="K177">
        <v>2020</v>
      </c>
      <c r="L177" t="s">
        <v>1180</v>
      </c>
      <c r="M177" t="s">
        <v>1130</v>
      </c>
      <c r="N177">
        <f t="shared" si="5"/>
        <v>2020</v>
      </c>
      <c r="O177">
        <v>2020</v>
      </c>
      <c r="P177">
        <v>2035</v>
      </c>
      <c r="Q177">
        <v>15</v>
      </c>
    </row>
    <row r="178" spans="1:17" x14ac:dyDescent="0.2">
      <c r="A178" s="4" t="s">
        <v>820</v>
      </c>
      <c r="B178" t="s">
        <v>354</v>
      </c>
      <c r="C178" t="s">
        <v>355</v>
      </c>
      <c r="D178" t="s">
        <v>608</v>
      </c>
      <c r="E178" s="13">
        <v>45350</v>
      </c>
      <c r="F178" t="s">
        <v>389</v>
      </c>
      <c r="G178" s="14" t="s">
        <v>620</v>
      </c>
      <c r="H178" s="14" t="str">
        <f t="shared" si="4"/>
        <v>178_KIR.pdf</v>
      </c>
      <c r="I178" s="14" t="s">
        <v>620</v>
      </c>
      <c r="J178" t="s">
        <v>1115</v>
      </c>
      <c r="K178">
        <v>2016</v>
      </c>
      <c r="L178" t="s">
        <v>1181</v>
      </c>
      <c r="M178" t="s">
        <v>1130</v>
      </c>
      <c r="N178">
        <f t="shared" si="5"/>
        <v>2016</v>
      </c>
      <c r="O178">
        <v>2016</v>
      </c>
      <c r="P178">
        <v>2036</v>
      </c>
      <c r="Q178">
        <v>20</v>
      </c>
    </row>
    <row r="179" spans="1:17" x14ac:dyDescent="0.2">
      <c r="A179" s="4" t="s">
        <v>821</v>
      </c>
      <c r="B179" t="s">
        <v>356</v>
      </c>
      <c r="C179" t="s">
        <v>357</v>
      </c>
      <c r="D179" s="2" t="s">
        <v>435</v>
      </c>
      <c r="E179" s="13">
        <v>45350</v>
      </c>
      <c r="F179" t="s">
        <v>389</v>
      </c>
      <c r="G179" s="14" t="s">
        <v>620</v>
      </c>
      <c r="H179" s="14" t="str">
        <f t="shared" si="4"/>
        <v>179_KNA.pdf</v>
      </c>
      <c r="I179" s="14" t="s">
        <v>620</v>
      </c>
      <c r="J179" t="s">
        <v>1115</v>
      </c>
      <c r="K179">
        <v>2006</v>
      </c>
      <c r="L179" t="s">
        <v>1182</v>
      </c>
      <c r="M179" t="s">
        <v>1129</v>
      </c>
      <c r="N179">
        <f t="shared" si="5"/>
        <v>2006</v>
      </c>
      <c r="O179">
        <v>2006</v>
      </c>
      <c r="P179">
        <v>2013</v>
      </c>
      <c r="Q179">
        <v>7</v>
      </c>
    </row>
    <row r="180" spans="1:17" x14ac:dyDescent="0.2">
      <c r="A180" s="4" t="s">
        <v>822</v>
      </c>
      <c r="B180" t="s">
        <v>358</v>
      </c>
      <c r="C180" t="s">
        <v>359</v>
      </c>
      <c r="D180" t="s">
        <v>446</v>
      </c>
      <c r="E180" s="13">
        <v>45350</v>
      </c>
      <c r="F180" t="s">
        <v>389</v>
      </c>
      <c r="G180" s="14" t="s">
        <v>620</v>
      </c>
      <c r="H180" s="14" t="str">
        <f t="shared" si="4"/>
        <v>180_LBY.pdf</v>
      </c>
      <c r="I180" s="14" t="s">
        <v>620</v>
      </c>
      <c r="J180" t="s">
        <v>1115</v>
      </c>
      <c r="K180">
        <v>2021</v>
      </c>
      <c r="L180">
        <v>2030</v>
      </c>
      <c r="M180" t="s">
        <v>1129</v>
      </c>
      <c r="N180">
        <f t="shared" si="5"/>
        <v>2030</v>
      </c>
      <c r="O180">
        <v>2021</v>
      </c>
      <c r="P180">
        <v>2030</v>
      </c>
      <c r="Q180">
        <v>9</v>
      </c>
    </row>
    <row r="181" spans="1:17" x14ac:dyDescent="0.2">
      <c r="A181" s="4" t="s">
        <v>823</v>
      </c>
      <c r="B181" t="s">
        <v>360</v>
      </c>
      <c r="C181" t="s">
        <v>361</v>
      </c>
      <c r="D181" s="2" t="s">
        <v>414</v>
      </c>
      <c r="E181" s="13">
        <v>45350</v>
      </c>
      <c r="F181" t="s">
        <v>389</v>
      </c>
      <c r="G181" s="14" t="s">
        <v>620</v>
      </c>
      <c r="H181" s="14" t="str">
        <f t="shared" si="4"/>
        <v>181_LCA.pdf</v>
      </c>
      <c r="I181" s="14" t="s">
        <v>620</v>
      </c>
      <c r="J181" t="s">
        <v>1115</v>
      </c>
      <c r="K181">
        <v>2020</v>
      </c>
      <c r="L181" t="s">
        <v>1178</v>
      </c>
      <c r="M181" t="s">
        <v>1129</v>
      </c>
      <c r="N181">
        <f t="shared" si="5"/>
        <v>2020</v>
      </c>
      <c r="O181">
        <v>2020</v>
      </c>
      <c r="P181">
        <v>2023</v>
      </c>
      <c r="Q181">
        <v>3</v>
      </c>
    </row>
    <row r="182" spans="1:17" x14ac:dyDescent="0.2">
      <c r="A182" s="4" t="s">
        <v>824</v>
      </c>
      <c r="B182" t="s">
        <v>362</v>
      </c>
      <c r="C182" t="s">
        <v>363</v>
      </c>
      <c r="D182" t="s">
        <v>609</v>
      </c>
      <c r="E182" s="13">
        <v>45350</v>
      </c>
      <c r="F182" t="s">
        <v>389</v>
      </c>
      <c r="G182" s="14" t="s">
        <v>620</v>
      </c>
      <c r="H182" s="14" t="str">
        <f t="shared" si="4"/>
        <v>182_LIE.pdf</v>
      </c>
      <c r="I182" s="14" t="s">
        <v>620</v>
      </c>
      <c r="J182" t="s">
        <v>1115</v>
      </c>
      <c r="K182">
        <v>2019</v>
      </c>
      <c r="M182" t="s">
        <v>1130</v>
      </c>
      <c r="O182">
        <v>2019</v>
      </c>
    </row>
    <row r="183" spans="1:17" x14ac:dyDescent="0.2">
      <c r="A183" s="4" t="s">
        <v>825</v>
      </c>
      <c r="B183" t="s">
        <v>364</v>
      </c>
      <c r="C183" t="s">
        <v>365</v>
      </c>
      <c r="D183" t="s">
        <v>610</v>
      </c>
      <c r="E183" s="13">
        <v>45350</v>
      </c>
      <c r="F183" t="s">
        <v>389</v>
      </c>
      <c r="G183" s="14" t="s">
        <v>620</v>
      </c>
      <c r="H183" s="14" t="str">
        <f t="shared" si="4"/>
        <v>183_MCO.pdf</v>
      </c>
      <c r="I183" s="14" t="s">
        <v>620</v>
      </c>
      <c r="J183" t="s">
        <v>1115</v>
      </c>
      <c r="K183">
        <v>2019</v>
      </c>
      <c r="M183" t="s">
        <v>1130</v>
      </c>
      <c r="O183">
        <v>2019</v>
      </c>
    </row>
    <row r="184" spans="1:17" x14ac:dyDescent="0.2">
      <c r="A184" s="4" t="s">
        <v>826</v>
      </c>
      <c r="B184" t="s">
        <v>366</v>
      </c>
      <c r="C184" t="s">
        <v>367</v>
      </c>
      <c r="D184" t="s">
        <v>611</v>
      </c>
      <c r="E184" s="13">
        <v>45350</v>
      </c>
      <c r="F184" t="s">
        <v>389</v>
      </c>
      <c r="G184" s="14" t="s">
        <v>620</v>
      </c>
      <c r="H184" s="14" t="str">
        <f t="shared" si="4"/>
        <v>184_MHL.pdf</v>
      </c>
      <c r="I184" s="14" t="s">
        <v>620</v>
      </c>
      <c r="J184" t="s">
        <v>1115</v>
      </c>
      <c r="K184">
        <v>2020</v>
      </c>
      <c r="L184" t="s">
        <v>1149</v>
      </c>
      <c r="M184" t="s">
        <v>1129</v>
      </c>
      <c r="N184">
        <f t="shared" si="5"/>
        <v>2020</v>
      </c>
      <c r="O184">
        <v>2020</v>
      </c>
      <c r="P184">
        <v>2030</v>
      </c>
      <c r="Q184">
        <v>10</v>
      </c>
    </row>
    <row r="185" spans="1:17" x14ac:dyDescent="0.2">
      <c r="A185" s="4" t="s">
        <v>827</v>
      </c>
      <c r="B185" t="s">
        <v>368</v>
      </c>
      <c r="C185" t="s">
        <v>369</v>
      </c>
      <c r="D185" t="s">
        <v>612</v>
      </c>
      <c r="E185" s="13">
        <v>45350</v>
      </c>
      <c r="F185" t="s">
        <v>389</v>
      </c>
      <c r="G185" s="14" t="s">
        <v>620</v>
      </c>
      <c r="H185" s="14" t="str">
        <f t="shared" si="4"/>
        <v>185_NRU.pdf</v>
      </c>
      <c r="I185" s="14" t="s">
        <v>620</v>
      </c>
      <c r="J185" t="s">
        <v>1115</v>
      </c>
      <c r="K185">
        <v>2019</v>
      </c>
      <c r="L185" t="s">
        <v>1165</v>
      </c>
      <c r="M185" t="s">
        <v>1129</v>
      </c>
      <c r="N185">
        <f t="shared" si="5"/>
        <v>2019</v>
      </c>
      <c r="O185">
        <v>2019</v>
      </c>
      <c r="P185">
        <v>2030</v>
      </c>
      <c r="Q185">
        <v>11</v>
      </c>
    </row>
    <row r="186" spans="1:17" x14ac:dyDescent="0.2">
      <c r="A186" s="4" t="s">
        <v>828</v>
      </c>
      <c r="B186" t="s">
        <v>370</v>
      </c>
      <c r="C186" t="s">
        <v>371</v>
      </c>
      <c r="D186" t="s">
        <v>613</v>
      </c>
      <c r="E186" s="13">
        <v>45475</v>
      </c>
      <c r="F186" t="s">
        <v>389</v>
      </c>
      <c r="G186" s="14" t="s">
        <v>620</v>
      </c>
      <c r="H186" s="14" t="str">
        <f t="shared" si="4"/>
        <v>186_PLW.pdf</v>
      </c>
      <c r="I186" s="14" t="s">
        <v>620</v>
      </c>
      <c r="J186" t="s">
        <v>1115</v>
      </c>
      <c r="K186">
        <v>2009</v>
      </c>
      <c r="L186" t="s">
        <v>1183</v>
      </c>
      <c r="M186" t="s">
        <v>1129</v>
      </c>
      <c r="N186">
        <f t="shared" si="5"/>
        <v>2009</v>
      </c>
      <c r="O186">
        <v>2009</v>
      </c>
      <c r="P186">
        <v>2014</v>
      </c>
      <c r="Q186">
        <v>5</v>
      </c>
    </row>
    <row r="187" spans="1:17" x14ac:dyDescent="0.2">
      <c r="A187" s="4" t="s">
        <v>829</v>
      </c>
      <c r="B187" t="s">
        <v>372</v>
      </c>
      <c r="C187" t="s">
        <v>373</v>
      </c>
      <c r="D187" t="s">
        <v>845</v>
      </c>
      <c r="E187" s="13">
        <v>45380</v>
      </c>
      <c r="F187" t="s">
        <v>389</v>
      </c>
      <c r="G187" s="14" t="s">
        <v>620</v>
      </c>
      <c r="H187" s="14" t="str">
        <f t="shared" si="4"/>
        <v>187_PRK.pdf</v>
      </c>
      <c r="I187" s="14" t="s">
        <v>620</v>
      </c>
      <c r="J187" t="s">
        <v>1115</v>
      </c>
      <c r="K187">
        <v>2023</v>
      </c>
      <c r="L187" t="s">
        <v>1137</v>
      </c>
      <c r="M187" t="s">
        <v>1129</v>
      </c>
      <c r="N187">
        <f t="shared" si="5"/>
        <v>2021</v>
      </c>
      <c r="O187">
        <v>2021</v>
      </c>
      <c r="P187">
        <v>2025</v>
      </c>
      <c r="Q187">
        <v>4</v>
      </c>
    </row>
    <row r="188" spans="1:17" x14ac:dyDescent="0.2">
      <c r="A188" s="4" t="s">
        <v>830</v>
      </c>
      <c r="B188" t="s">
        <v>374</v>
      </c>
      <c r="C188" t="s">
        <v>375</v>
      </c>
      <c r="D188" t="s">
        <v>463</v>
      </c>
      <c r="E188" s="13">
        <v>45350</v>
      </c>
      <c r="F188" t="s">
        <v>389</v>
      </c>
      <c r="G188" s="14" t="s">
        <v>620</v>
      </c>
      <c r="H188" s="14" t="str">
        <f t="shared" si="4"/>
        <v>188_SLB.pdf</v>
      </c>
      <c r="I188" s="14" t="s">
        <v>620</v>
      </c>
      <c r="J188" t="s">
        <v>1115</v>
      </c>
      <c r="K188">
        <v>2016</v>
      </c>
      <c r="L188" t="s">
        <v>1184</v>
      </c>
      <c r="M188" t="s">
        <v>1129</v>
      </c>
      <c r="N188">
        <f t="shared" si="5"/>
        <v>2016</v>
      </c>
      <c r="O188">
        <v>2016</v>
      </c>
      <c r="P188">
        <v>2035</v>
      </c>
      <c r="Q188">
        <v>19</v>
      </c>
    </row>
    <row r="189" spans="1:17" x14ac:dyDescent="0.2">
      <c r="A189" s="4" t="s">
        <v>831</v>
      </c>
      <c r="B189" t="s">
        <v>376</v>
      </c>
      <c r="C189" t="s">
        <v>377</v>
      </c>
      <c r="D189" s="2" t="s">
        <v>848</v>
      </c>
      <c r="E189" s="13">
        <v>45393</v>
      </c>
      <c r="F189" t="s">
        <v>389</v>
      </c>
      <c r="G189" s="14" t="s">
        <v>620</v>
      </c>
      <c r="H189" s="14" t="str">
        <f t="shared" si="4"/>
        <v>189_SMR.pdf</v>
      </c>
      <c r="I189" s="14" t="s">
        <v>620</v>
      </c>
      <c r="J189" t="s">
        <v>1115</v>
      </c>
      <c r="K189">
        <v>2022</v>
      </c>
      <c r="L189" t="s">
        <v>1122</v>
      </c>
      <c r="M189" t="s">
        <v>1129</v>
      </c>
      <c r="N189">
        <f t="shared" si="5"/>
        <v>2022</v>
      </c>
      <c r="O189">
        <v>2022</v>
      </c>
      <c r="P189">
        <v>2030</v>
      </c>
      <c r="Q189">
        <v>8</v>
      </c>
    </row>
    <row r="190" spans="1:17" x14ac:dyDescent="0.2">
      <c r="A190" s="4" t="s">
        <v>832</v>
      </c>
      <c r="B190" t="s">
        <v>378</v>
      </c>
      <c r="C190" t="s">
        <v>379</v>
      </c>
      <c r="D190" s="2" t="s">
        <v>393</v>
      </c>
      <c r="E190" s="13">
        <v>45350</v>
      </c>
      <c r="F190" t="s">
        <v>389</v>
      </c>
      <c r="G190" s="14" t="s">
        <v>620</v>
      </c>
      <c r="H190" s="14" t="str">
        <f t="shared" si="4"/>
        <v>190_TLS.pdf</v>
      </c>
      <c r="I190" s="14" t="s">
        <v>620</v>
      </c>
      <c r="J190" t="s">
        <v>1115</v>
      </c>
      <c r="K190">
        <v>2011</v>
      </c>
      <c r="L190" t="s">
        <v>1162</v>
      </c>
      <c r="M190" t="s">
        <v>1130</v>
      </c>
      <c r="N190">
        <f t="shared" si="5"/>
        <v>2011</v>
      </c>
      <c r="O190">
        <v>2011</v>
      </c>
      <c r="P190">
        <v>2030</v>
      </c>
      <c r="Q190">
        <v>19</v>
      </c>
    </row>
    <row r="191" spans="1:17" x14ac:dyDescent="0.2">
      <c r="A191" s="4" t="s">
        <v>833</v>
      </c>
      <c r="B191" t="s">
        <v>380</v>
      </c>
      <c r="C191" t="s">
        <v>381</v>
      </c>
      <c r="D191" t="s">
        <v>470</v>
      </c>
      <c r="E191" s="13">
        <v>45350</v>
      </c>
      <c r="F191" t="s">
        <v>389</v>
      </c>
      <c r="G191" s="14" t="s">
        <v>620</v>
      </c>
      <c r="H191" s="14" t="str">
        <f t="shared" si="4"/>
        <v>191_TON.pdf</v>
      </c>
      <c r="I191" s="14" t="s">
        <v>620</v>
      </c>
      <c r="J191" t="s">
        <v>1115</v>
      </c>
      <c r="K191">
        <v>2009</v>
      </c>
      <c r="L191" t="s">
        <v>1183</v>
      </c>
      <c r="M191" t="s">
        <v>1129</v>
      </c>
      <c r="N191">
        <f t="shared" si="5"/>
        <v>2009</v>
      </c>
      <c r="O191">
        <v>2009</v>
      </c>
      <c r="P191">
        <v>2014</v>
      </c>
      <c r="Q191">
        <v>5</v>
      </c>
    </row>
    <row r="192" spans="1:17" x14ac:dyDescent="0.2">
      <c r="A192" s="4" t="s">
        <v>834</v>
      </c>
      <c r="B192" t="s">
        <v>382</v>
      </c>
      <c r="C192" t="s">
        <v>383</v>
      </c>
      <c r="D192" t="s">
        <v>614</v>
      </c>
      <c r="E192" s="13">
        <v>45350</v>
      </c>
      <c r="F192" t="s">
        <v>389</v>
      </c>
      <c r="G192" s="14" t="s">
        <v>620</v>
      </c>
      <c r="H192" s="14" t="str">
        <f t="shared" si="4"/>
        <v>192_TUV.pdf</v>
      </c>
      <c r="I192" s="14" t="s">
        <v>620</v>
      </c>
      <c r="J192" t="s">
        <v>1115</v>
      </c>
      <c r="K192">
        <v>2021</v>
      </c>
      <c r="L192" t="s">
        <v>1133</v>
      </c>
      <c r="M192" t="s">
        <v>1129</v>
      </c>
      <c r="N192">
        <f t="shared" si="5"/>
        <v>2021</v>
      </c>
      <c r="O192">
        <v>2021</v>
      </c>
      <c r="P192">
        <v>2030</v>
      </c>
      <c r="Q192">
        <v>9</v>
      </c>
    </row>
    <row r="193" spans="1:17" x14ac:dyDescent="0.2">
      <c r="A193" s="4" t="s">
        <v>835</v>
      </c>
      <c r="B193" t="s">
        <v>384</v>
      </c>
      <c r="C193" t="s">
        <v>385</v>
      </c>
      <c r="D193" s="2" t="s">
        <v>432</v>
      </c>
      <c r="E193" s="13">
        <v>45350</v>
      </c>
      <c r="F193" t="s">
        <v>389</v>
      </c>
      <c r="G193" s="14" t="s">
        <v>620</v>
      </c>
      <c r="H193" s="14" t="str">
        <f t="shared" si="4"/>
        <v>193_VCT.pdf</v>
      </c>
      <c r="I193" s="14" t="s">
        <v>620</v>
      </c>
      <c r="J193" t="s">
        <v>1115</v>
      </c>
      <c r="K193">
        <v>2013</v>
      </c>
      <c r="L193" t="s">
        <v>1185</v>
      </c>
      <c r="M193" t="s">
        <v>1129</v>
      </c>
      <c r="N193">
        <f t="shared" si="5"/>
        <v>2013</v>
      </c>
      <c r="O193">
        <v>2013</v>
      </c>
      <c r="P193">
        <v>2025</v>
      </c>
      <c r="Q193">
        <v>12</v>
      </c>
    </row>
    <row r="194" spans="1:17" x14ac:dyDescent="0.2">
      <c r="A194" s="4" t="s">
        <v>836</v>
      </c>
      <c r="B194" t="s">
        <v>386</v>
      </c>
      <c r="C194" t="s">
        <v>387</v>
      </c>
      <c r="D194" t="s">
        <v>615</v>
      </c>
      <c r="E194" s="13">
        <v>45350</v>
      </c>
      <c r="F194" t="s">
        <v>389</v>
      </c>
      <c r="G194" s="14" t="s">
        <v>620</v>
      </c>
      <c r="H194" s="14" t="str">
        <f t="shared" si="4"/>
        <v>194_VUT.pdf</v>
      </c>
      <c r="I194" s="14" t="s">
        <v>620</v>
      </c>
      <c r="J194" t="s">
        <v>1115</v>
      </c>
      <c r="K194">
        <v>2016</v>
      </c>
      <c r="L194" t="s">
        <v>1168</v>
      </c>
      <c r="M194" t="s">
        <v>1129</v>
      </c>
      <c r="N194">
        <f t="shared" si="5"/>
        <v>2016</v>
      </c>
      <c r="O194">
        <v>2016</v>
      </c>
      <c r="P194">
        <v>2030</v>
      </c>
      <c r="Q194">
        <v>14</v>
      </c>
    </row>
    <row r="197" spans="1:17" x14ac:dyDescent="0.2">
      <c r="D197" s="3"/>
    </row>
  </sheetData>
  <autoFilter ref="A1:H194" xr:uid="{6D314530-2531-5242-B8FE-5676A011CC42}"/>
  <phoneticPr fontId="6" type="noConversion"/>
  <hyperlinks>
    <hyperlink ref="D5" r:id="rId1" xr:uid="{F4BF7DE8-8F13-B346-94AD-039C8396CC98}"/>
    <hyperlink ref="D2" r:id="rId2" xr:uid="{787F6A91-7636-6E41-864F-E7F7ACD28219}"/>
    <hyperlink ref="D3" r:id="rId3" xr:uid="{2B6E8E26-7D78-794B-82D4-387356569981}"/>
    <hyperlink ref="D8" r:id="rId4" xr:uid="{CA047906-790A-BA49-81E8-DB233327AA23}"/>
    <hyperlink ref="D78" r:id="rId5" xr:uid="{21989B45-311A-2845-AD80-02FF86C3EFA6}"/>
    <hyperlink ref="D190" r:id="rId6" xr:uid="{8DCBCCC2-D1EE-1A41-930D-0C9631A04DDD}"/>
    <hyperlink ref="D55" r:id="rId7" xr:uid="{DFDFC0A2-D35F-9A41-BFAC-8ADE8A778E00}"/>
    <hyperlink ref="D21" r:id="rId8" xr:uid="{BAD878D7-F1D6-194D-828C-C6380F36C02A}"/>
    <hyperlink ref="D57" r:id="rId9" xr:uid="{0674B06B-C587-3C4D-9FEF-DC26C78260B2}"/>
    <hyperlink ref="D20" r:id="rId10" xr:uid="{6DC816AA-C3ED-AD47-8202-AC76DC854073}"/>
    <hyperlink ref="D89" r:id="rId11" xr:uid="{54418A42-47F2-374E-AA68-12A254D16FC0}"/>
    <hyperlink ref="D62" r:id="rId12" xr:uid="{94D508C3-8F55-1947-892B-B77A4F9414C2}"/>
    <hyperlink ref="D114" r:id="rId13" xr:uid="{1B2FF1C6-D324-3745-B0E0-546C693CB322}"/>
    <hyperlink ref="D25" r:id="rId14" xr:uid="{A2991DE7-42A5-A241-8870-ABD7EBC8B2BB}"/>
    <hyperlink ref="D130" r:id="rId15" xr:uid="{527DD26D-779A-4343-8BA4-87701AB7FA07}"/>
    <hyperlink ref="D111" r:id="rId16" xr:uid="{7A532C7D-0323-E34B-9A5C-344C85E696BD}"/>
    <hyperlink ref="D120" r:id="rId17" xr:uid="{F92E57A8-29D5-C04F-AF99-CE104C545474}"/>
    <hyperlink ref="D48" r:id="rId18" xr:uid="{3D397565-C8B2-A64B-9AEF-1FD0630BA7AB}"/>
    <hyperlink ref="D96" r:id="rId19" xr:uid="{FD0C60BD-008E-A247-8D1A-AD708285D18B}"/>
    <hyperlink ref="D71" r:id="rId20" xr:uid="{D19388C3-2B89-1741-930F-28539E77CF9F}"/>
    <hyperlink ref="D181" r:id="rId21" xr:uid="{A3EC250B-7F8F-4944-B89E-3DBA45021721}"/>
    <hyperlink ref="D65" r:id="rId22" xr:uid="{AC330892-94F8-B349-B297-95FABE3C766D}"/>
    <hyperlink ref="D177" r:id="rId23" xr:uid="{23C741B4-2251-C344-B564-EACC35EF236C}"/>
    <hyperlink ref="D115" r:id="rId24" xr:uid="{7FC80DAC-E42F-7345-B05D-D233873881A5}"/>
    <hyperlink ref="D88" r:id="rId25" xr:uid="{23704FBA-917B-3D4F-82D1-D112CA605817}"/>
    <hyperlink ref="D19" r:id="rId26" xr:uid="{119A84D4-51CE-D04F-B5E4-5E10D6C1315F}"/>
    <hyperlink ref="D131" r:id="rId27" xr:uid="{7749405D-F017-D042-A3D1-C5C0258AFB92}"/>
    <hyperlink ref="D123" r:id="rId28" xr:uid="{E51A2562-77A6-C846-947E-844021C327C9}"/>
    <hyperlink ref="D135" r:id="rId29" xr:uid="{94309E49-BBFA-1F45-A579-E15C296D2D80}"/>
    <hyperlink ref="D82" r:id="rId30" xr:uid="{9F1AFCDF-579C-EF44-9782-D890D7B32332}"/>
    <hyperlink ref="D171" r:id="rId31" xr:uid="{5EEE83CC-08C6-F44E-BCEA-748C7F0F890A}"/>
    <hyperlink ref="D128" r:id="rId32" xr:uid="{43931DE2-7AD6-8D46-BC07-7F908DA94138}"/>
    <hyperlink ref="D40" r:id="rId33" xr:uid="{8A708364-3740-3A41-A5C4-D86A225932BF}"/>
    <hyperlink ref="D107" r:id="rId34" xr:uid="{835270CE-6D4D-ED4A-8BAD-39402D4227CB}"/>
    <hyperlink ref="D101" r:id="rId35" xr:uid="{A8F24E61-8846-394A-BDB0-8925612837C2}"/>
    <hyperlink ref="D137" r:id="rId36" xr:uid="{B3D74BAC-6BAE-944E-A4BD-6A92C52F552D}"/>
    <hyperlink ref="D193" r:id="rId37" xr:uid="{EB7CEE27-53EF-5948-B479-8B0C8B538DE1}"/>
    <hyperlink ref="D33" r:id="rId38" xr:uid="{764AFD69-A89A-CA40-AB43-FD22A9EB581B}"/>
    <hyperlink ref="D179" r:id="rId39" xr:uid="{FB6FC512-6751-7343-B0E5-83625D98485D}"/>
    <hyperlink ref="D125" r:id="rId40" xr:uid="{C2D4C9FC-6AAA-C542-B899-1BA662B1D0E0}"/>
    <hyperlink ref="D92" r:id="rId41" xr:uid="{1988E5E1-B5DC-6646-AB12-CA603E2D3188}"/>
    <hyperlink ref="D124" r:id="rId42" xr:uid="{6025C846-B210-A348-B87F-9CAAFC0DA2B9}"/>
    <hyperlink ref="D67" r:id="rId43" xr:uid="{FE684F04-26D3-6B4A-AD93-8BFA011FBC17}"/>
    <hyperlink ref="D28" r:id="rId44" xr:uid="{318B725B-A9E3-F84B-A041-222452CDB326}"/>
    <hyperlink ref="D113" r:id="rId45" xr:uid="{90E4FFE4-FCF1-5245-9139-E1BA01213422}"/>
    <hyperlink ref="D163" r:id="rId46" xr:uid="{873C6971-96BB-F540-9A81-8D7A432D1CF4}"/>
    <hyperlink ref="D167" r:id="rId47" xr:uid="{A708483F-C275-2047-A64B-460244EE7F50}"/>
    <hyperlink ref="D150" r:id="rId48" xr:uid="{9B2B4DEC-6D0F-EA49-8B93-66244F661807}"/>
    <hyperlink ref="D11" r:id="rId49" xr:uid="{5FE3319C-F880-654B-9CE8-819478872145}"/>
    <hyperlink ref="D4" r:id="rId50" xr:uid="{C99F814E-3154-BD44-9EA8-B37B22DAB9C5}"/>
    <hyperlink ref="D7" r:id="rId51" xr:uid="{14FC7B1A-576F-BD4A-8E79-5031D6A9C420}"/>
    <hyperlink ref="D189" r:id="rId52" xr:uid="{005DC7F5-BBC3-624B-9A1B-EA4C3F73E745}"/>
    <hyperlink ref="D30" r:id="rId53" xr:uid="{423EA51F-45B9-D348-BD94-3B8E420F9604}"/>
    <hyperlink ref="D154" r:id="rId54" xr:uid="{9E263CDA-433E-7A4D-B2A7-47D23F3E582C}"/>
    <hyperlink ref="D95" r:id="rId55" xr:uid="{2565CE4D-EE46-6949-BDDC-D0B52FBEE174}"/>
    <hyperlink ref="D103" r:id="rId56" xr:uid="{7B2B1408-3B4D-E446-B34F-7AEADC12FDF8}"/>
    <hyperlink ref="D14" r:id="rId57" xr:uid="{25D89D6E-39EE-114D-89CA-2691F87C58E1}"/>
    <hyperlink ref="D15" r:id="rId58" xr:uid="{8727E6A3-C226-C841-B3CC-48074F178F10}"/>
    <hyperlink ref="D26" r:id="rId59" xr:uid="{091DF160-DE74-894F-98CF-9FF3B8CFA48A}"/>
    <hyperlink ref="D49" r:id="rId60" xr:uid="{7F118F28-922B-464C-A362-EC0E9E32CDBF}"/>
    <hyperlink ref="D106" r:id="rId61" xr:uid="{14BDF08B-2C24-EB47-986D-B6D77DF4BA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5CBA-6882-1443-AFB9-5288C4128977}">
  <sheetPr filterMode="1"/>
  <dimension ref="A1:D27"/>
  <sheetViews>
    <sheetView workbookViewId="0">
      <selection activeCell="D28" sqref="D28"/>
    </sheetView>
  </sheetViews>
  <sheetFormatPr baseColWidth="10" defaultRowHeight="15" x14ac:dyDescent="0.2"/>
  <cols>
    <col min="2" max="2" width="13.5" customWidth="1"/>
  </cols>
  <sheetData>
    <row r="1" spans="1:2" ht="33" x14ac:dyDescent="0.2">
      <c r="A1" s="5" t="s">
        <v>618</v>
      </c>
      <c r="B1" s="5" t="s">
        <v>850</v>
      </c>
    </row>
    <row r="2" spans="1:2" hidden="1" x14ac:dyDescent="0.2">
      <c r="A2" s="6" t="s">
        <v>625</v>
      </c>
      <c r="B2" t="s">
        <v>849</v>
      </c>
    </row>
    <row r="3" spans="1:2" hidden="1" x14ac:dyDescent="0.2">
      <c r="A3" s="6" t="s">
        <v>633</v>
      </c>
      <c r="B3" t="s">
        <v>849</v>
      </c>
    </row>
    <row r="4" spans="1:2" hidden="1" x14ac:dyDescent="0.2">
      <c r="A4" s="6" t="s">
        <v>632</v>
      </c>
      <c r="B4" t="s">
        <v>849</v>
      </c>
    </row>
    <row r="5" spans="1:2" hidden="1" x14ac:dyDescent="0.2">
      <c r="A5" s="6" t="s">
        <v>628</v>
      </c>
      <c r="B5" t="s">
        <v>849</v>
      </c>
    </row>
    <row r="6" spans="1:2" hidden="1" x14ac:dyDescent="0.2">
      <c r="A6" s="6" t="s">
        <v>640</v>
      </c>
      <c r="B6" t="s">
        <v>849</v>
      </c>
    </row>
    <row r="7" spans="1:2" hidden="1" x14ac:dyDescent="0.2">
      <c r="A7" s="6" t="s">
        <v>635</v>
      </c>
      <c r="B7" t="s">
        <v>849</v>
      </c>
    </row>
    <row r="8" spans="1:2" hidden="1" x14ac:dyDescent="0.2">
      <c r="A8" s="6" t="s">
        <v>843</v>
      </c>
      <c r="B8" t="s">
        <v>849</v>
      </c>
    </row>
    <row r="9" spans="1:2" x14ac:dyDescent="0.2">
      <c r="A9" s="6" t="s">
        <v>624</v>
      </c>
      <c r="B9" t="s">
        <v>846</v>
      </c>
    </row>
    <row r="10" spans="1:2" hidden="1" x14ac:dyDescent="0.2">
      <c r="A10" s="6" t="s">
        <v>636</v>
      </c>
      <c r="B10" t="s">
        <v>849</v>
      </c>
    </row>
    <row r="11" spans="1:2" hidden="1" x14ac:dyDescent="0.2">
      <c r="A11" s="6" t="s">
        <v>621</v>
      </c>
      <c r="B11" t="s">
        <v>849</v>
      </c>
    </row>
    <row r="12" spans="1:2" x14ac:dyDescent="0.2">
      <c r="A12" s="6" t="s">
        <v>629</v>
      </c>
      <c r="B12" t="s">
        <v>851</v>
      </c>
    </row>
    <row r="13" spans="1:2" hidden="1" x14ac:dyDescent="0.2">
      <c r="A13" s="6" t="s">
        <v>631</v>
      </c>
      <c r="B13" t="s">
        <v>849</v>
      </c>
    </row>
    <row r="14" spans="1:2" x14ac:dyDescent="0.2">
      <c r="A14" s="7" t="s">
        <v>639</v>
      </c>
      <c r="B14" t="s">
        <v>852</v>
      </c>
    </row>
    <row r="15" spans="1:2" hidden="1" x14ac:dyDescent="0.2">
      <c r="A15" s="6" t="s">
        <v>634</v>
      </c>
      <c r="B15" t="s">
        <v>849</v>
      </c>
    </row>
    <row r="16" spans="1:2" hidden="1" x14ac:dyDescent="0.2">
      <c r="A16" s="6" t="s">
        <v>0</v>
      </c>
      <c r="B16" t="s">
        <v>849</v>
      </c>
    </row>
    <row r="17" spans="1:4" x14ac:dyDescent="0.2">
      <c r="A17" s="7" t="s">
        <v>638</v>
      </c>
      <c r="B17" t="s">
        <v>852</v>
      </c>
    </row>
    <row r="18" spans="1:4" hidden="1" x14ac:dyDescent="0.2">
      <c r="A18" s="6" t="s">
        <v>623</v>
      </c>
      <c r="B18" t="s">
        <v>849</v>
      </c>
    </row>
    <row r="19" spans="1:4" hidden="1" x14ac:dyDescent="0.2">
      <c r="A19" s="6" t="s">
        <v>622</v>
      </c>
      <c r="B19" t="s">
        <v>849</v>
      </c>
    </row>
    <row r="20" spans="1:4" hidden="1" x14ac:dyDescent="0.2">
      <c r="A20" s="6" t="s">
        <v>637</v>
      </c>
      <c r="B20" t="s">
        <v>849</v>
      </c>
    </row>
    <row r="21" spans="1:4" hidden="1" x14ac:dyDescent="0.2">
      <c r="A21" s="6" t="s">
        <v>626</v>
      </c>
      <c r="B21" t="s">
        <v>849</v>
      </c>
    </row>
    <row r="22" spans="1:4" hidden="1" x14ac:dyDescent="0.2">
      <c r="A22" s="6" t="s">
        <v>627</v>
      </c>
      <c r="B22" t="s">
        <v>849</v>
      </c>
    </row>
    <row r="23" spans="1:4" x14ac:dyDescent="0.2">
      <c r="A23" s="6"/>
    </row>
    <row r="24" spans="1:4" x14ac:dyDescent="0.2">
      <c r="A24" s="6"/>
    </row>
    <row r="25" spans="1:4" x14ac:dyDescent="0.2">
      <c r="A25" s="6" t="s">
        <v>858</v>
      </c>
      <c r="B25" t="s">
        <v>853</v>
      </c>
      <c r="C25" t="s">
        <v>854</v>
      </c>
      <c r="D25" s="4" t="s">
        <v>855</v>
      </c>
    </row>
    <row r="26" spans="1:4" x14ac:dyDescent="0.2">
      <c r="C26" t="s">
        <v>856</v>
      </c>
      <c r="D26" s="4" t="s">
        <v>857</v>
      </c>
    </row>
    <row r="27" spans="1:4" x14ac:dyDescent="0.2">
      <c r="A27" t="s">
        <v>859</v>
      </c>
      <c r="C27" t="s">
        <v>854</v>
      </c>
      <c r="D27" s="4" t="s">
        <v>860</v>
      </c>
    </row>
  </sheetData>
  <autoFilter ref="A1:B25" xr:uid="{946F5CBA-6882-1443-AFB9-5288C4128977}">
    <filterColumn colId="1">
      <filters blank="1">
        <filter val="no"/>
        <filter val="no-text"/>
        <filter val="ok but not to en"/>
      </filters>
    </filterColumn>
  </autoFilter>
  <sortState xmlns:xlrd2="http://schemas.microsoft.com/office/spreadsheetml/2017/richdata2" ref="A2:B22">
    <sortCondition ref="A2:A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3893-38D9-254E-B90C-722B360AE055}">
  <dimension ref="B2:B3"/>
  <sheetViews>
    <sheetView workbookViewId="0">
      <selection activeCell="D17" sqref="D17"/>
    </sheetView>
  </sheetViews>
  <sheetFormatPr baseColWidth="10" defaultRowHeight="15" x14ac:dyDescent="0.2"/>
  <sheetData>
    <row r="2" spans="2:2" x14ac:dyDescent="0.2">
      <c r="B2" t="s">
        <v>396</v>
      </c>
    </row>
    <row r="3" spans="2:2" x14ac:dyDescent="0.2">
      <c r="B3" s="2" t="s">
        <v>397</v>
      </c>
    </row>
  </sheetData>
  <hyperlinks>
    <hyperlink ref="B3" r:id="rId1" xr:uid="{5722563C-5C21-BE40-B8B3-D7809B656F6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E126-045B-864F-90D1-6F90E274EF20}">
  <dimension ref="A1:E261"/>
  <sheetViews>
    <sheetView topLeftCell="A156" zoomScale="136" workbookViewId="0">
      <selection activeCell="A161" sqref="A161"/>
    </sheetView>
  </sheetViews>
  <sheetFormatPr baseColWidth="10" defaultColWidth="11" defaultRowHeight="16" x14ac:dyDescent="0.2"/>
  <cols>
    <col min="1" max="1" width="27" style="11" bestFit="1" customWidth="1"/>
    <col min="2" max="2" width="24.33203125" style="11" hidden="1" customWidth="1"/>
    <col min="3" max="3" width="29.5" style="11" hidden="1" customWidth="1"/>
    <col min="4" max="4" width="20" style="11" bestFit="1" customWidth="1"/>
    <col min="5" max="5" width="22" style="11" bestFit="1" customWidth="1"/>
    <col min="6" max="16384" width="11" style="11"/>
  </cols>
  <sheetData>
    <row r="1" spans="1:5" s="9" customFormat="1" x14ac:dyDescent="0.2">
      <c r="A1" s="8" t="s">
        <v>861</v>
      </c>
      <c r="B1" s="8" t="s">
        <v>863</v>
      </c>
      <c r="C1" s="8" t="s">
        <v>864</v>
      </c>
      <c r="D1" s="8" t="s">
        <v>862</v>
      </c>
      <c r="E1" s="9" t="s">
        <v>502</v>
      </c>
    </row>
    <row r="2" spans="1:5" x14ac:dyDescent="0.2">
      <c r="A2" s="10" t="s">
        <v>865</v>
      </c>
      <c r="B2" s="10" t="s">
        <v>866</v>
      </c>
      <c r="C2" s="10" t="s">
        <v>867</v>
      </c>
      <c r="D2" s="10" t="s">
        <v>968</v>
      </c>
      <c r="E2" s="11" t="s">
        <v>914</v>
      </c>
    </row>
    <row r="3" spans="1:5" x14ac:dyDescent="0.2">
      <c r="A3" s="10" t="s">
        <v>323</v>
      </c>
      <c r="B3" s="10" t="s">
        <v>868</v>
      </c>
      <c r="C3" s="10" t="s">
        <v>869</v>
      </c>
      <c r="D3" s="10" t="s">
        <v>969</v>
      </c>
      <c r="E3" s="11" t="s">
        <v>915</v>
      </c>
    </row>
    <row r="4" spans="1:5" x14ac:dyDescent="0.2">
      <c r="A4" s="10" t="s">
        <v>870</v>
      </c>
      <c r="B4" s="10" t="s">
        <v>868</v>
      </c>
      <c r="C4" s="10" t="s">
        <v>871</v>
      </c>
      <c r="D4" s="10" t="s">
        <v>970</v>
      </c>
      <c r="E4" s="11" t="s">
        <v>910</v>
      </c>
    </row>
    <row r="5" spans="1:5" x14ac:dyDescent="0.2">
      <c r="A5" s="10" t="s">
        <v>125</v>
      </c>
      <c r="B5" s="10" t="s">
        <v>872</v>
      </c>
      <c r="C5" s="10" t="s">
        <v>873</v>
      </c>
      <c r="D5" s="10" t="s">
        <v>970</v>
      </c>
      <c r="E5" s="11" t="s">
        <v>914</v>
      </c>
    </row>
    <row r="6" spans="1:5" x14ac:dyDescent="0.2">
      <c r="A6" s="10" t="s">
        <v>133</v>
      </c>
      <c r="B6" s="10" t="s">
        <v>866</v>
      </c>
      <c r="C6" s="10" t="s">
        <v>867</v>
      </c>
      <c r="D6" s="10" t="s">
        <v>970</v>
      </c>
      <c r="E6" s="11" t="s">
        <v>914</v>
      </c>
    </row>
    <row r="7" spans="1:5" x14ac:dyDescent="0.2">
      <c r="A7" s="10" t="s">
        <v>876</v>
      </c>
      <c r="B7" s="10" t="s">
        <v>875</v>
      </c>
      <c r="C7" s="10" t="s">
        <v>877</v>
      </c>
      <c r="D7" s="10" t="s">
        <v>970</v>
      </c>
      <c r="E7" s="11" t="s">
        <v>914</v>
      </c>
    </row>
    <row r="8" spans="1:5" x14ac:dyDescent="0.2">
      <c r="A8" s="10" t="s">
        <v>339</v>
      </c>
      <c r="B8" s="10" t="s">
        <v>872</v>
      </c>
      <c r="C8" s="10" t="s">
        <v>873</v>
      </c>
      <c r="D8" s="10" t="s">
        <v>971</v>
      </c>
      <c r="E8" s="11" t="s">
        <v>909</v>
      </c>
    </row>
    <row r="9" spans="1:5" x14ac:dyDescent="0.2">
      <c r="A9" s="10" t="s">
        <v>317</v>
      </c>
      <c r="B9" s="10" t="s">
        <v>866</v>
      </c>
      <c r="C9" s="10" t="s">
        <v>879</v>
      </c>
      <c r="D9" s="10" t="s">
        <v>970</v>
      </c>
      <c r="E9" s="11" t="s">
        <v>915</v>
      </c>
    </row>
    <row r="10" spans="1:5" x14ac:dyDescent="0.2">
      <c r="A10" s="10" t="s">
        <v>880</v>
      </c>
      <c r="B10" s="10" t="s">
        <v>874</v>
      </c>
      <c r="C10" s="10" t="s">
        <v>881</v>
      </c>
      <c r="D10" s="10" t="s">
        <v>970</v>
      </c>
      <c r="E10" s="11" t="s">
        <v>914</v>
      </c>
    </row>
    <row r="11" spans="1:5" x14ac:dyDescent="0.2">
      <c r="A11" s="10" t="s">
        <v>341</v>
      </c>
      <c r="B11" s="10" t="s">
        <v>874</v>
      </c>
      <c r="C11" s="10" t="s">
        <v>881</v>
      </c>
      <c r="D11" s="10" t="s">
        <v>970</v>
      </c>
      <c r="E11" s="11" t="s">
        <v>914</v>
      </c>
    </row>
    <row r="12" spans="1:5" x14ac:dyDescent="0.2">
      <c r="A12" s="10" t="s">
        <v>79</v>
      </c>
      <c r="B12" s="10" t="s">
        <v>878</v>
      </c>
      <c r="C12" s="10" t="s">
        <v>878</v>
      </c>
      <c r="D12" s="10" t="s">
        <v>970</v>
      </c>
      <c r="E12" s="11" t="s">
        <v>913</v>
      </c>
    </row>
    <row r="13" spans="1:5" x14ac:dyDescent="0.2">
      <c r="A13" s="10" t="s">
        <v>181</v>
      </c>
      <c r="B13" s="10" t="s">
        <v>868</v>
      </c>
      <c r="C13" s="10" t="s">
        <v>882</v>
      </c>
      <c r="D13" s="10" t="s">
        <v>968</v>
      </c>
      <c r="E13" s="11" t="s">
        <v>914</v>
      </c>
    </row>
    <row r="14" spans="1:5" x14ac:dyDescent="0.2">
      <c r="A14" s="10" t="s">
        <v>883</v>
      </c>
      <c r="B14" s="10" t="s">
        <v>874</v>
      </c>
      <c r="C14" s="10" t="s">
        <v>881</v>
      </c>
      <c r="D14" s="10" t="s">
        <v>971</v>
      </c>
      <c r="E14" s="11" t="s">
        <v>914</v>
      </c>
    </row>
    <row r="15" spans="1:5" x14ac:dyDescent="0.2">
      <c r="A15" s="10" t="s">
        <v>885</v>
      </c>
      <c r="B15" s="10" t="s">
        <v>868</v>
      </c>
      <c r="C15" s="10" t="s">
        <v>869</v>
      </c>
      <c r="D15" s="10" t="s">
        <v>968</v>
      </c>
      <c r="E15" s="11" t="s">
        <v>910</v>
      </c>
    </row>
    <row r="16" spans="1:5" x14ac:dyDescent="0.2">
      <c r="A16" s="10" t="s">
        <v>139</v>
      </c>
      <c r="B16" s="10" t="s">
        <v>875</v>
      </c>
      <c r="C16" s="10" t="s">
        <v>886</v>
      </c>
      <c r="D16" s="10" t="s">
        <v>972</v>
      </c>
      <c r="E16" s="11" t="s">
        <v>909</v>
      </c>
    </row>
    <row r="17" spans="1:5" x14ac:dyDescent="0.2">
      <c r="A17" s="10" t="s">
        <v>17</v>
      </c>
      <c r="B17" s="10" t="s">
        <v>872</v>
      </c>
      <c r="C17" s="10" t="s">
        <v>888</v>
      </c>
      <c r="D17" s="10" t="s">
        <v>972</v>
      </c>
      <c r="E17" s="11" t="s">
        <v>909</v>
      </c>
    </row>
    <row r="18" spans="1:5" x14ac:dyDescent="0.2">
      <c r="A18" s="10" t="s">
        <v>179</v>
      </c>
      <c r="B18" s="10" t="s">
        <v>868</v>
      </c>
      <c r="C18" s="10" t="s">
        <v>882</v>
      </c>
      <c r="D18" s="10" t="s">
        <v>970</v>
      </c>
      <c r="E18" s="11" t="s">
        <v>914</v>
      </c>
    </row>
    <row r="19" spans="1:5" x14ac:dyDescent="0.2">
      <c r="A19" s="10" t="s">
        <v>251</v>
      </c>
      <c r="B19" s="10" t="s">
        <v>868</v>
      </c>
      <c r="C19" s="10" t="s">
        <v>882</v>
      </c>
      <c r="D19" s="10" t="s">
        <v>971</v>
      </c>
      <c r="E19" s="11" t="s">
        <v>914</v>
      </c>
    </row>
    <row r="20" spans="1:5" x14ac:dyDescent="0.2">
      <c r="A20" s="10" t="s">
        <v>890</v>
      </c>
      <c r="B20" s="10" t="s">
        <v>874</v>
      </c>
      <c r="C20" s="10" t="s">
        <v>891</v>
      </c>
      <c r="D20" s="10" t="s">
        <v>969</v>
      </c>
      <c r="E20" s="11" t="s">
        <v>915</v>
      </c>
    </row>
    <row r="21" spans="1:5" x14ac:dyDescent="0.2">
      <c r="A21" s="10" t="s">
        <v>99</v>
      </c>
      <c r="B21" s="10" t="s">
        <v>868</v>
      </c>
      <c r="C21" s="10" t="s">
        <v>869</v>
      </c>
      <c r="D21" s="10" t="s">
        <v>969</v>
      </c>
      <c r="E21" s="11" t="s">
        <v>915</v>
      </c>
    </row>
    <row r="22" spans="1:5" x14ac:dyDescent="0.2">
      <c r="A22" s="10" t="s">
        <v>65</v>
      </c>
      <c r="B22" s="10" t="s">
        <v>874</v>
      </c>
      <c r="C22" s="10" t="s">
        <v>881</v>
      </c>
      <c r="D22" s="10" t="s">
        <v>971</v>
      </c>
      <c r="E22" s="11" t="s">
        <v>914</v>
      </c>
    </row>
    <row r="23" spans="1:5" x14ac:dyDescent="0.2">
      <c r="A23" s="10" t="s">
        <v>167</v>
      </c>
      <c r="B23" s="10" t="s">
        <v>872</v>
      </c>
      <c r="C23" s="10" t="s">
        <v>893</v>
      </c>
      <c r="D23" s="10" t="s">
        <v>970</v>
      </c>
      <c r="E23" s="11" t="s">
        <v>914</v>
      </c>
    </row>
    <row r="24" spans="1:5" x14ac:dyDescent="0.2">
      <c r="A24" s="10" t="s">
        <v>31</v>
      </c>
      <c r="B24" s="10" t="s">
        <v>872</v>
      </c>
      <c r="C24" s="10" t="s">
        <v>888</v>
      </c>
      <c r="D24" s="10" t="s">
        <v>972</v>
      </c>
      <c r="E24" s="11" t="s">
        <v>909</v>
      </c>
    </row>
    <row r="25" spans="1:5" x14ac:dyDescent="0.2">
      <c r="A25" s="10" t="s">
        <v>245</v>
      </c>
      <c r="B25" s="10" t="s">
        <v>874</v>
      </c>
      <c r="C25" s="10" t="s">
        <v>894</v>
      </c>
      <c r="D25" s="10" t="s">
        <v>968</v>
      </c>
      <c r="E25" s="11" t="s">
        <v>914</v>
      </c>
    </row>
    <row r="26" spans="1:5" x14ac:dyDescent="0.2">
      <c r="A26" s="10" t="s">
        <v>11</v>
      </c>
      <c r="B26" s="10" t="s">
        <v>866</v>
      </c>
      <c r="C26" s="10" t="s">
        <v>889</v>
      </c>
      <c r="D26" s="10" t="s">
        <v>969</v>
      </c>
      <c r="E26" s="11" t="s">
        <v>915</v>
      </c>
    </row>
    <row r="27" spans="1:5" x14ac:dyDescent="0.2">
      <c r="A27" s="10" t="s">
        <v>896</v>
      </c>
      <c r="B27" s="10" t="s">
        <v>874</v>
      </c>
      <c r="C27" s="10" t="s">
        <v>897</v>
      </c>
      <c r="D27" s="10" t="s">
        <v>971</v>
      </c>
      <c r="E27" s="11" t="s">
        <v>909</v>
      </c>
    </row>
    <row r="28" spans="1:5" x14ac:dyDescent="0.2">
      <c r="A28" s="10" t="s">
        <v>189</v>
      </c>
      <c r="B28" s="10" t="s">
        <v>868</v>
      </c>
      <c r="C28" s="10" t="s">
        <v>869</v>
      </c>
      <c r="D28" s="10" t="s">
        <v>968</v>
      </c>
      <c r="E28" s="11" t="s">
        <v>915</v>
      </c>
    </row>
    <row r="29" spans="1:5" x14ac:dyDescent="0.2">
      <c r="A29" s="10" t="s">
        <v>141</v>
      </c>
      <c r="B29" s="10" t="s">
        <v>878</v>
      </c>
      <c r="C29" s="10" t="s">
        <v>878</v>
      </c>
      <c r="D29" s="10" t="s">
        <v>968</v>
      </c>
      <c r="E29" s="11" t="s">
        <v>913</v>
      </c>
    </row>
    <row r="30" spans="1:5" x14ac:dyDescent="0.2">
      <c r="A30" s="10" t="s">
        <v>898</v>
      </c>
      <c r="B30" s="10" t="s">
        <v>872</v>
      </c>
      <c r="C30" s="10" t="s">
        <v>888</v>
      </c>
      <c r="D30" s="10" t="s">
        <v>972</v>
      </c>
      <c r="E30" s="11" t="s">
        <v>909</v>
      </c>
    </row>
    <row r="31" spans="1:5" x14ac:dyDescent="0.2">
      <c r="A31" s="10" t="s">
        <v>137</v>
      </c>
      <c r="B31" s="10" t="s">
        <v>872</v>
      </c>
      <c r="C31" s="10" t="s">
        <v>873</v>
      </c>
      <c r="D31" s="10" t="s">
        <v>970</v>
      </c>
      <c r="E31" s="11" t="s">
        <v>914</v>
      </c>
    </row>
    <row r="32" spans="1:5" x14ac:dyDescent="0.2">
      <c r="A32" s="10" t="s">
        <v>263</v>
      </c>
      <c r="B32" s="10" t="s">
        <v>866</v>
      </c>
      <c r="C32" s="10" t="s">
        <v>892</v>
      </c>
      <c r="D32" s="10" t="s">
        <v>970</v>
      </c>
      <c r="E32" s="11" t="s">
        <v>914</v>
      </c>
    </row>
    <row r="33" spans="1:5" x14ac:dyDescent="0.2">
      <c r="A33" s="10" t="s">
        <v>129</v>
      </c>
      <c r="B33" s="10" t="s">
        <v>878</v>
      </c>
      <c r="C33" s="10" t="s">
        <v>878</v>
      </c>
      <c r="D33" s="10" t="s">
        <v>970</v>
      </c>
      <c r="E33" s="11" t="s">
        <v>910</v>
      </c>
    </row>
    <row r="34" spans="1:5" x14ac:dyDescent="0.2">
      <c r="A34" s="10" t="s">
        <v>900</v>
      </c>
      <c r="B34" s="10" t="s">
        <v>891</v>
      </c>
      <c r="C34" s="10" t="s">
        <v>891</v>
      </c>
      <c r="D34" s="10" t="s">
        <v>971</v>
      </c>
      <c r="E34" s="11" t="s">
        <v>909</v>
      </c>
    </row>
    <row r="35" spans="1:5" x14ac:dyDescent="0.2">
      <c r="A35" s="10" t="s">
        <v>902</v>
      </c>
      <c r="B35" s="10" t="s">
        <v>874</v>
      </c>
      <c r="C35" s="10" t="s">
        <v>881</v>
      </c>
      <c r="D35" s="10" t="s">
        <v>972</v>
      </c>
      <c r="E35" s="11" t="s">
        <v>909</v>
      </c>
    </row>
    <row r="36" spans="1:5" x14ac:dyDescent="0.2">
      <c r="A36" s="10" t="s">
        <v>235</v>
      </c>
      <c r="B36" s="10" t="s">
        <v>868</v>
      </c>
      <c r="C36" s="10" t="s">
        <v>884</v>
      </c>
      <c r="D36" s="10" t="s">
        <v>971</v>
      </c>
      <c r="E36" s="11" t="s">
        <v>914</v>
      </c>
    </row>
    <row r="37" spans="1:5" x14ac:dyDescent="0.2">
      <c r="A37" s="10" t="s">
        <v>91</v>
      </c>
      <c r="B37" s="10" t="s">
        <v>872</v>
      </c>
      <c r="C37" s="10" t="s">
        <v>893</v>
      </c>
      <c r="D37" s="10" t="s">
        <v>970</v>
      </c>
      <c r="E37" s="11" t="s">
        <v>909</v>
      </c>
    </row>
    <row r="38" spans="1:5" x14ac:dyDescent="0.2">
      <c r="A38" s="10" t="s">
        <v>313</v>
      </c>
      <c r="B38" s="10" t="s">
        <v>866</v>
      </c>
      <c r="C38" s="10" t="s">
        <v>889</v>
      </c>
      <c r="D38" s="10" t="s">
        <v>969</v>
      </c>
      <c r="E38" s="11" t="s">
        <v>915</v>
      </c>
    </row>
    <row r="39" spans="1:5" x14ac:dyDescent="0.2">
      <c r="A39" s="10" t="s">
        <v>301</v>
      </c>
      <c r="B39" s="10" t="s">
        <v>866</v>
      </c>
      <c r="C39" s="10" t="s">
        <v>887</v>
      </c>
      <c r="D39" s="10" t="s">
        <v>969</v>
      </c>
      <c r="E39" s="11" t="s">
        <v>915</v>
      </c>
    </row>
    <row r="40" spans="1:5" x14ac:dyDescent="0.2">
      <c r="A40" s="10" t="s">
        <v>237</v>
      </c>
      <c r="B40" s="10" t="s">
        <v>868</v>
      </c>
      <c r="C40" s="10" t="s">
        <v>884</v>
      </c>
      <c r="D40" s="10" t="s">
        <v>969</v>
      </c>
      <c r="E40" s="11" t="s">
        <v>915</v>
      </c>
    </row>
    <row r="41" spans="1:5" x14ac:dyDescent="0.2">
      <c r="A41" s="10" t="s">
        <v>143</v>
      </c>
      <c r="B41" s="10" t="s">
        <v>866</v>
      </c>
      <c r="C41" s="10" t="s">
        <v>879</v>
      </c>
      <c r="D41" s="10" t="s">
        <v>968</v>
      </c>
      <c r="E41" s="11" t="s">
        <v>914</v>
      </c>
    </row>
    <row r="42" spans="1:5" x14ac:dyDescent="0.2">
      <c r="A42" s="10" t="s">
        <v>33</v>
      </c>
      <c r="B42" s="10" t="s">
        <v>874</v>
      </c>
      <c r="C42" s="10" t="s">
        <v>897</v>
      </c>
      <c r="D42" s="10" t="s">
        <v>972</v>
      </c>
      <c r="E42" s="11" t="s">
        <v>908</v>
      </c>
    </row>
    <row r="43" spans="1:5" x14ac:dyDescent="0.2">
      <c r="A43" s="10" t="s">
        <v>215</v>
      </c>
      <c r="B43" s="10" t="s">
        <v>866</v>
      </c>
      <c r="C43" s="10" t="s">
        <v>889</v>
      </c>
      <c r="D43" s="10" t="s">
        <v>968</v>
      </c>
      <c r="E43" s="11" t="s">
        <v>914</v>
      </c>
    </row>
    <row r="44" spans="1:5" x14ac:dyDescent="0.2">
      <c r="A44" s="10" t="s">
        <v>904</v>
      </c>
      <c r="B44" s="10" t="s">
        <v>874</v>
      </c>
      <c r="C44" s="10" t="s">
        <v>881</v>
      </c>
      <c r="D44" s="10" t="s">
        <v>971</v>
      </c>
      <c r="E44" s="11" t="s">
        <v>913</v>
      </c>
    </row>
    <row r="45" spans="1:5" x14ac:dyDescent="0.2">
      <c r="A45" s="10" t="s">
        <v>335</v>
      </c>
      <c r="B45" s="10" t="s">
        <v>866</v>
      </c>
      <c r="C45" s="10" t="s">
        <v>879</v>
      </c>
      <c r="D45" s="10" t="s">
        <v>969</v>
      </c>
      <c r="E45" s="11" t="s">
        <v>915</v>
      </c>
    </row>
    <row r="46" spans="1:5" x14ac:dyDescent="0.2">
      <c r="A46" s="10" t="s">
        <v>333</v>
      </c>
      <c r="B46" s="10" t="s">
        <v>866</v>
      </c>
      <c r="C46" s="10" t="s">
        <v>879</v>
      </c>
      <c r="D46" s="10" t="s">
        <v>969</v>
      </c>
      <c r="E46" s="11" t="s">
        <v>915</v>
      </c>
    </row>
    <row r="47" spans="1:5" x14ac:dyDescent="0.2">
      <c r="A47" s="10" t="s">
        <v>49</v>
      </c>
      <c r="B47" s="10" t="s">
        <v>878</v>
      </c>
      <c r="C47" s="10" t="s">
        <v>878</v>
      </c>
      <c r="D47" s="10" t="s">
        <v>970</v>
      </c>
      <c r="E47" s="11" t="s">
        <v>913</v>
      </c>
    </row>
    <row r="48" spans="1:5" x14ac:dyDescent="0.2">
      <c r="A48" s="10" t="s">
        <v>101</v>
      </c>
      <c r="B48" s="10" t="s">
        <v>868</v>
      </c>
      <c r="C48" s="10" t="s">
        <v>871</v>
      </c>
      <c r="D48" s="10" t="s">
        <v>970</v>
      </c>
      <c r="E48" s="11" t="s">
        <v>910</v>
      </c>
    </row>
    <row r="49" spans="1:5" x14ac:dyDescent="0.2">
      <c r="A49" s="10" t="s">
        <v>905</v>
      </c>
      <c r="B49" s="10" t="s">
        <v>868</v>
      </c>
      <c r="C49" s="10" t="s">
        <v>891</v>
      </c>
      <c r="D49" s="10" t="s">
        <v>971</v>
      </c>
      <c r="E49" s="11" t="s">
        <v>909</v>
      </c>
    </row>
    <row r="50" spans="1:5" x14ac:dyDescent="0.2">
      <c r="A50" s="10" t="s">
        <v>906</v>
      </c>
      <c r="B50" s="10" t="s">
        <v>891</v>
      </c>
      <c r="C50" s="10" t="s">
        <v>894</v>
      </c>
      <c r="D50" s="10" t="s">
        <v>969</v>
      </c>
      <c r="E50" s="11" t="s">
        <v>915</v>
      </c>
    </row>
    <row r="51" spans="1:5" x14ac:dyDescent="0.2">
      <c r="A51" s="10" t="s">
        <v>907</v>
      </c>
      <c r="B51" s="10" t="s">
        <v>868</v>
      </c>
      <c r="C51" s="10" t="s">
        <v>891</v>
      </c>
      <c r="D51" s="10" t="s">
        <v>971</v>
      </c>
      <c r="E51" s="11" t="s">
        <v>909</v>
      </c>
    </row>
    <row r="52" spans="1:5" x14ac:dyDescent="0.2">
      <c r="A52" s="10" t="s">
        <v>39</v>
      </c>
      <c r="B52" s="10" t="s">
        <v>878</v>
      </c>
      <c r="C52" s="10" t="s">
        <v>878</v>
      </c>
      <c r="D52" s="10" t="s">
        <v>970</v>
      </c>
      <c r="E52" s="11" t="s">
        <v>914</v>
      </c>
    </row>
    <row r="53" spans="1:5" x14ac:dyDescent="0.2">
      <c r="A53" s="10" t="s">
        <v>315</v>
      </c>
      <c r="B53" s="10" t="s">
        <v>866</v>
      </c>
      <c r="C53" s="10" t="s">
        <v>887</v>
      </c>
      <c r="D53" s="10" t="s">
        <v>969</v>
      </c>
      <c r="E53" s="11" t="s">
        <v>915</v>
      </c>
    </row>
    <row r="54" spans="1:5" x14ac:dyDescent="0.2">
      <c r="A54" s="10" t="s">
        <v>911</v>
      </c>
      <c r="B54" s="10" t="s">
        <v>875</v>
      </c>
      <c r="C54" s="10" t="s">
        <v>877</v>
      </c>
      <c r="D54" s="10" t="s">
        <v>970</v>
      </c>
      <c r="E54" s="11" t="s">
        <v>914</v>
      </c>
    </row>
    <row r="55" spans="1:5" x14ac:dyDescent="0.2">
      <c r="A55" s="10" t="s">
        <v>177</v>
      </c>
      <c r="B55" s="10" t="s">
        <v>874</v>
      </c>
      <c r="C55" s="10" t="s">
        <v>894</v>
      </c>
      <c r="D55" s="10" t="s">
        <v>970</v>
      </c>
      <c r="E55" s="11" t="s">
        <v>913</v>
      </c>
    </row>
    <row r="56" spans="1:5" x14ac:dyDescent="0.2">
      <c r="A56" s="10" t="s">
        <v>153</v>
      </c>
      <c r="B56" s="10" t="s">
        <v>872</v>
      </c>
      <c r="C56" s="10" t="s">
        <v>873</v>
      </c>
      <c r="D56" s="10" t="s">
        <v>971</v>
      </c>
      <c r="E56" s="11" t="s">
        <v>909</v>
      </c>
    </row>
    <row r="57" spans="1:5" x14ac:dyDescent="0.2">
      <c r="A57" s="10" t="s">
        <v>175</v>
      </c>
      <c r="B57" s="10" t="s">
        <v>874</v>
      </c>
      <c r="C57" s="10" t="s">
        <v>881</v>
      </c>
      <c r="D57" s="10" t="s">
        <v>970</v>
      </c>
      <c r="E57" s="11" t="s">
        <v>913</v>
      </c>
    </row>
    <row r="58" spans="1:5" x14ac:dyDescent="0.2">
      <c r="A58" s="10" t="s">
        <v>916</v>
      </c>
      <c r="B58" s="10" t="s">
        <v>874</v>
      </c>
      <c r="C58" s="10" t="s">
        <v>881</v>
      </c>
      <c r="D58" s="10" t="s">
        <v>971</v>
      </c>
      <c r="E58" s="11" t="s">
        <v>914</v>
      </c>
    </row>
    <row r="59" spans="1:5" x14ac:dyDescent="0.2">
      <c r="A59" s="10" t="s">
        <v>47</v>
      </c>
      <c r="B59" s="10" t="s">
        <v>868</v>
      </c>
      <c r="C59" s="10" t="s">
        <v>882</v>
      </c>
      <c r="D59" s="10" t="s">
        <v>971</v>
      </c>
      <c r="E59" s="11" t="s">
        <v>914</v>
      </c>
    </row>
    <row r="60" spans="1:5" x14ac:dyDescent="0.2">
      <c r="A60" s="10" t="s">
        <v>53</v>
      </c>
      <c r="B60" s="10" t="s">
        <v>872</v>
      </c>
      <c r="C60" s="10" t="s">
        <v>893</v>
      </c>
      <c r="D60" s="10" t="s">
        <v>972</v>
      </c>
      <c r="E60" s="11" t="s">
        <v>909</v>
      </c>
    </row>
    <row r="61" spans="1:5" x14ac:dyDescent="0.2">
      <c r="A61" s="10" t="s">
        <v>917</v>
      </c>
      <c r="B61" s="10" t="s">
        <v>868</v>
      </c>
      <c r="C61" s="10" t="s">
        <v>869</v>
      </c>
      <c r="D61" s="10" t="s">
        <v>968</v>
      </c>
      <c r="E61" s="11" t="s">
        <v>910</v>
      </c>
    </row>
    <row r="62" spans="1:5" x14ac:dyDescent="0.2">
      <c r="A62" s="10" t="s">
        <v>918</v>
      </c>
      <c r="B62" s="10" t="s">
        <v>866</v>
      </c>
      <c r="C62" s="10" t="s">
        <v>879</v>
      </c>
      <c r="D62" s="10" t="s">
        <v>969</v>
      </c>
      <c r="E62" s="11" t="s">
        <v>915</v>
      </c>
    </row>
    <row r="63" spans="1:5" x14ac:dyDescent="0.2">
      <c r="A63" s="10" t="s">
        <v>19</v>
      </c>
      <c r="B63" s="10" t="s">
        <v>872</v>
      </c>
      <c r="C63" s="10" t="s">
        <v>895</v>
      </c>
      <c r="D63" s="10" t="s">
        <v>972</v>
      </c>
      <c r="E63" s="11" t="s">
        <v>909</v>
      </c>
    </row>
    <row r="64" spans="1:5" x14ac:dyDescent="0.2">
      <c r="A64" s="10" t="s">
        <v>307</v>
      </c>
      <c r="B64" s="10" t="s">
        <v>866</v>
      </c>
      <c r="C64" s="10" t="s">
        <v>887</v>
      </c>
      <c r="D64" s="10" t="s">
        <v>968</v>
      </c>
      <c r="E64" s="11" t="s">
        <v>915</v>
      </c>
    </row>
    <row r="65" spans="1:5" x14ac:dyDescent="0.2">
      <c r="A65" s="10" t="s">
        <v>343</v>
      </c>
      <c r="B65" s="10" t="s">
        <v>874</v>
      </c>
      <c r="C65" s="10" t="s">
        <v>881</v>
      </c>
      <c r="D65" s="10" t="s">
        <v>970</v>
      </c>
      <c r="E65" s="11" t="s">
        <v>914</v>
      </c>
    </row>
    <row r="66" spans="1:5" x14ac:dyDescent="0.2">
      <c r="A66" s="10" t="s">
        <v>191</v>
      </c>
      <c r="B66" s="10" t="s">
        <v>874</v>
      </c>
      <c r="C66" s="10" t="s">
        <v>881</v>
      </c>
      <c r="D66" s="10" t="s">
        <v>970</v>
      </c>
      <c r="E66" s="11" t="s">
        <v>914</v>
      </c>
    </row>
    <row r="67" spans="1:5" x14ac:dyDescent="0.2">
      <c r="A67" s="10" t="s">
        <v>379</v>
      </c>
      <c r="B67" s="10" t="s">
        <v>868</v>
      </c>
      <c r="C67" s="10" t="s">
        <v>884</v>
      </c>
      <c r="D67" s="10" t="s">
        <v>968</v>
      </c>
      <c r="E67" s="11" t="s">
        <v>915</v>
      </c>
    </row>
    <row r="68" spans="1:5" x14ac:dyDescent="0.2">
      <c r="A68" s="10" t="s">
        <v>71</v>
      </c>
      <c r="B68" s="10" t="s">
        <v>878</v>
      </c>
      <c r="C68" s="10" t="s">
        <v>878</v>
      </c>
      <c r="D68" s="10" t="s">
        <v>970</v>
      </c>
      <c r="E68" s="11" t="s">
        <v>914</v>
      </c>
    </row>
    <row r="69" spans="1:5" x14ac:dyDescent="0.2">
      <c r="A69" s="10" t="s">
        <v>55</v>
      </c>
      <c r="B69" s="10" t="s">
        <v>866</v>
      </c>
      <c r="C69" s="10" t="s">
        <v>867</v>
      </c>
      <c r="D69" s="10" t="s">
        <v>968</v>
      </c>
      <c r="E69" s="11" t="s">
        <v>913</v>
      </c>
    </row>
    <row r="70" spans="1:5" x14ac:dyDescent="0.2">
      <c r="A70" s="10" t="s">
        <v>201</v>
      </c>
      <c r="B70" s="10" t="s">
        <v>874</v>
      </c>
      <c r="C70" s="10" t="s">
        <v>894</v>
      </c>
      <c r="D70" s="10" t="s">
        <v>968</v>
      </c>
      <c r="E70" s="11" t="s">
        <v>914</v>
      </c>
    </row>
    <row r="71" spans="1:5" x14ac:dyDescent="0.2">
      <c r="A71" s="10" t="s">
        <v>351</v>
      </c>
      <c r="B71" s="10" t="s">
        <v>866</v>
      </c>
      <c r="C71" s="10" t="s">
        <v>879</v>
      </c>
      <c r="D71" s="10" t="s">
        <v>971</v>
      </c>
      <c r="E71" s="11" t="s">
        <v>915</v>
      </c>
    </row>
    <row r="72" spans="1:5" x14ac:dyDescent="0.2">
      <c r="A72" s="10" t="s">
        <v>345</v>
      </c>
      <c r="B72" s="10" t="s">
        <v>866</v>
      </c>
      <c r="C72" s="10" t="s">
        <v>887</v>
      </c>
      <c r="D72" s="10" t="s">
        <v>969</v>
      </c>
      <c r="E72" s="11" t="s">
        <v>915</v>
      </c>
    </row>
    <row r="73" spans="1:5" x14ac:dyDescent="0.2">
      <c r="A73" s="10" t="s">
        <v>151</v>
      </c>
      <c r="B73" s="10" t="s">
        <v>872</v>
      </c>
      <c r="C73" s="10" t="s">
        <v>895</v>
      </c>
      <c r="D73" s="10" t="s">
        <v>972</v>
      </c>
      <c r="E73" s="11" t="s">
        <v>909</v>
      </c>
    </row>
    <row r="74" spans="1:5" x14ac:dyDescent="0.2">
      <c r="A74" s="10" t="s">
        <v>281</v>
      </c>
      <c r="B74" s="10" t="s">
        <v>866</v>
      </c>
      <c r="C74" s="10" t="s">
        <v>892</v>
      </c>
      <c r="D74" s="10" t="s">
        <v>968</v>
      </c>
      <c r="E74" s="11" t="s">
        <v>914</v>
      </c>
    </row>
    <row r="75" spans="1:5" x14ac:dyDescent="0.2">
      <c r="A75" s="10" t="s">
        <v>119</v>
      </c>
      <c r="B75" s="10" t="s">
        <v>866</v>
      </c>
      <c r="C75" s="10" t="s">
        <v>887</v>
      </c>
      <c r="D75" s="10" t="s">
        <v>969</v>
      </c>
      <c r="E75" s="11" t="s">
        <v>915</v>
      </c>
    </row>
    <row r="76" spans="1:5" x14ac:dyDescent="0.2">
      <c r="A76" s="10" t="s">
        <v>919</v>
      </c>
      <c r="B76" s="10" t="s">
        <v>878</v>
      </c>
      <c r="C76" s="10" t="s">
        <v>878</v>
      </c>
      <c r="D76" s="10" t="s">
        <v>972</v>
      </c>
      <c r="E76" s="11" t="s">
        <v>909</v>
      </c>
    </row>
    <row r="77" spans="1:5" x14ac:dyDescent="0.2">
      <c r="A77" s="10" t="s">
        <v>920</v>
      </c>
      <c r="B77" s="10" t="s">
        <v>872</v>
      </c>
      <c r="C77" s="10" t="s">
        <v>895</v>
      </c>
      <c r="D77" s="10" t="s">
        <v>971</v>
      </c>
      <c r="E77" s="11" t="s">
        <v>909</v>
      </c>
    </row>
    <row r="78" spans="1:5" x14ac:dyDescent="0.2">
      <c r="A78" s="10" t="s">
        <v>347</v>
      </c>
      <c r="B78" s="10" t="s">
        <v>875</v>
      </c>
      <c r="C78" s="10" t="s">
        <v>903</v>
      </c>
      <c r="D78" s="10" t="s">
        <v>968</v>
      </c>
      <c r="E78" s="11" t="s">
        <v>914</v>
      </c>
    </row>
    <row r="79" spans="1:5" x14ac:dyDescent="0.2">
      <c r="A79" s="10" t="s">
        <v>183</v>
      </c>
      <c r="B79" s="10" t="s">
        <v>875</v>
      </c>
      <c r="C79" s="10" t="s">
        <v>901</v>
      </c>
      <c r="D79" s="10" t="s">
        <v>968</v>
      </c>
      <c r="E79" s="11" t="s">
        <v>914</v>
      </c>
    </row>
    <row r="80" spans="1:5" x14ac:dyDescent="0.2">
      <c r="A80" s="10" t="s">
        <v>9</v>
      </c>
      <c r="B80" s="10" t="s">
        <v>872</v>
      </c>
      <c r="C80" s="10" t="s">
        <v>895</v>
      </c>
      <c r="D80" s="10" t="s">
        <v>972</v>
      </c>
      <c r="E80" s="11" t="s">
        <v>909</v>
      </c>
    </row>
    <row r="81" spans="1:5" x14ac:dyDescent="0.2">
      <c r="A81" s="10" t="s">
        <v>63</v>
      </c>
      <c r="B81" s="10" t="s">
        <v>872</v>
      </c>
      <c r="C81" s="10" t="s">
        <v>888</v>
      </c>
      <c r="D81" s="10" t="s">
        <v>972</v>
      </c>
      <c r="E81" s="11" t="s">
        <v>908</v>
      </c>
    </row>
    <row r="82" spans="1:5" x14ac:dyDescent="0.2">
      <c r="A82" s="10" t="s">
        <v>921</v>
      </c>
      <c r="B82" s="10" t="s">
        <v>875</v>
      </c>
      <c r="C82" s="10" t="s">
        <v>877</v>
      </c>
      <c r="D82" s="10" t="s">
        <v>971</v>
      </c>
      <c r="E82" s="11" t="s">
        <v>914</v>
      </c>
    </row>
    <row r="83" spans="1:5" x14ac:dyDescent="0.2">
      <c r="A83" s="10" t="s">
        <v>922</v>
      </c>
      <c r="B83" s="10" t="s">
        <v>891</v>
      </c>
      <c r="C83" s="10" t="s">
        <v>891</v>
      </c>
      <c r="D83" s="10" t="s">
        <v>971</v>
      </c>
      <c r="E83" s="11" t="s">
        <v>914</v>
      </c>
    </row>
    <row r="84" spans="1:5" x14ac:dyDescent="0.2">
      <c r="A84" s="10" t="s">
        <v>253</v>
      </c>
      <c r="B84" s="10" t="s">
        <v>866</v>
      </c>
      <c r="C84" s="10" t="s">
        <v>879</v>
      </c>
      <c r="D84" s="10" t="s">
        <v>970</v>
      </c>
      <c r="E84" s="11" t="s">
        <v>914</v>
      </c>
    </row>
    <row r="85" spans="1:5" x14ac:dyDescent="0.2">
      <c r="A85" s="10" t="s">
        <v>83</v>
      </c>
      <c r="B85" s="10" t="s">
        <v>868</v>
      </c>
      <c r="C85" s="10" t="s">
        <v>882</v>
      </c>
      <c r="D85" s="10" t="s">
        <v>968</v>
      </c>
      <c r="E85" s="11" t="s">
        <v>914</v>
      </c>
    </row>
    <row r="86" spans="1:5" x14ac:dyDescent="0.2">
      <c r="A86" s="10" t="s">
        <v>29</v>
      </c>
      <c r="B86" s="10" t="s">
        <v>872</v>
      </c>
      <c r="C86" s="10" t="s">
        <v>888</v>
      </c>
      <c r="D86" s="10" t="s">
        <v>972</v>
      </c>
      <c r="E86" s="11" t="s">
        <v>908</v>
      </c>
    </row>
    <row r="87" spans="1:5" x14ac:dyDescent="0.2">
      <c r="A87" s="10" t="s">
        <v>45</v>
      </c>
      <c r="B87" s="10" t="s">
        <v>866</v>
      </c>
      <c r="C87" s="10" t="s">
        <v>889</v>
      </c>
      <c r="D87" s="10" t="s">
        <v>968</v>
      </c>
      <c r="E87" s="11" t="s">
        <v>914</v>
      </c>
    </row>
    <row r="88" spans="1:5" x14ac:dyDescent="0.2">
      <c r="A88" s="10" t="s">
        <v>923</v>
      </c>
      <c r="B88" s="10" t="s">
        <v>872</v>
      </c>
      <c r="C88" s="10" t="s">
        <v>873</v>
      </c>
      <c r="D88" s="10" t="s">
        <v>972</v>
      </c>
      <c r="E88" s="11" t="s">
        <v>909</v>
      </c>
    </row>
    <row r="89" spans="1:5" x14ac:dyDescent="0.2">
      <c r="A89" s="10" t="s">
        <v>35</v>
      </c>
      <c r="B89" s="10" t="s">
        <v>872</v>
      </c>
      <c r="C89" s="10" t="s">
        <v>873</v>
      </c>
      <c r="D89" s="10" t="s">
        <v>972</v>
      </c>
      <c r="E89" s="11" t="s">
        <v>909</v>
      </c>
    </row>
    <row r="90" spans="1:5" x14ac:dyDescent="0.2">
      <c r="A90" s="10" t="s">
        <v>924</v>
      </c>
      <c r="B90" s="10" t="s">
        <v>874</v>
      </c>
      <c r="C90" s="10" t="s">
        <v>897</v>
      </c>
      <c r="D90" s="10" t="s">
        <v>971</v>
      </c>
      <c r="E90" s="11" t="s">
        <v>909</v>
      </c>
    </row>
    <row r="91" spans="1:5" x14ac:dyDescent="0.2">
      <c r="A91" s="10" t="s">
        <v>353</v>
      </c>
      <c r="B91" s="10" t="s">
        <v>874</v>
      </c>
      <c r="C91" s="10" t="s">
        <v>881</v>
      </c>
      <c r="D91" s="10" t="s">
        <v>970</v>
      </c>
      <c r="E91" s="11" t="s">
        <v>914</v>
      </c>
    </row>
    <row r="92" spans="1:5" x14ac:dyDescent="0.2">
      <c r="A92" s="10" t="s">
        <v>925</v>
      </c>
      <c r="B92" s="10" t="s">
        <v>875</v>
      </c>
      <c r="C92" s="10" t="s">
        <v>903</v>
      </c>
      <c r="D92" s="10" t="s">
        <v>971</v>
      </c>
      <c r="E92" s="11" t="s">
        <v>914</v>
      </c>
    </row>
    <row r="93" spans="1:5" x14ac:dyDescent="0.2">
      <c r="A93" s="10" t="s">
        <v>926</v>
      </c>
      <c r="B93" s="10" t="s">
        <v>874</v>
      </c>
      <c r="C93" s="10" t="s">
        <v>881</v>
      </c>
      <c r="D93" s="10" t="s">
        <v>971</v>
      </c>
      <c r="E93" s="11" t="s">
        <v>909</v>
      </c>
    </row>
    <row r="94" spans="1:5" x14ac:dyDescent="0.2">
      <c r="A94" s="10" t="s">
        <v>273</v>
      </c>
      <c r="B94" s="10" t="s">
        <v>874</v>
      </c>
      <c r="C94" s="10" t="s">
        <v>894</v>
      </c>
      <c r="D94" s="10" t="s">
        <v>968</v>
      </c>
      <c r="E94" s="11" t="s">
        <v>914</v>
      </c>
    </row>
    <row r="95" spans="1:5" x14ac:dyDescent="0.2">
      <c r="A95" s="10" t="s">
        <v>927</v>
      </c>
      <c r="B95" s="10" t="s">
        <v>872</v>
      </c>
      <c r="C95" s="10" t="s">
        <v>895</v>
      </c>
      <c r="D95" s="10" t="s">
        <v>971</v>
      </c>
      <c r="E95" s="11" t="s">
        <v>909</v>
      </c>
    </row>
    <row r="96" spans="1:5" x14ac:dyDescent="0.2">
      <c r="A96" s="10" t="s">
        <v>295</v>
      </c>
      <c r="B96" s="10" t="s">
        <v>866</v>
      </c>
      <c r="C96" s="10" t="s">
        <v>889</v>
      </c>
      <c r="D96" s="10" t="s">
        <v>969</v>
      </c>
      <c r="E96" s="11" t="s">
        <v>915</v>
      </c>
    </row>
    <row r="97" spans="1:5" x14ac:dyDescent="0.2">
      <c r="A97" s="10" t="s">
        <v>349</v>
      </c>
      <c r="B97" s="10" t="s">
        <v>866</v>
      </c>
      <c r="C97" s="10" t="s">
        <v>889</v>
      </c>
      <c r="D97" s="10" t="s">
        <v>969</v>
      </c>
      <c r="E97" s="11" t="s">
        <v>915</v>
      </c>
    </row>
    <row r="98" spans="1:5" x14ac:dyDescent="0.2">
      <c r="A98" s="10" t="s">
        <v>227</v>
      </c>
      <c r="B98" s="10" t="s">
        <v>878</v>
      </c>
      <c r="C98" s="10" t="s">
        <v>878</v>
      </c>
      <c r="D98" s="10" t="s">
        <v>968</v>
      </c>
      <c r="E98" s="11" t="s">
        <v>914</v>
      </c>
    </row>
    <row r="99" spans="1:5" x14ac:dyDescent="0.2">
      <c r="A99" s="10" t="s">
        <v>311</v>
      </c>
      <c r="B99" s="10" t="s">
        <v>874</v>
      </c>
      <c r="C99" s="10" t="s">
        <v>881</v>
      </c>
      <c r="D99" s="10" t="s">
        <v>969</v>
      </c>
      <c r="E99" s="11" t="s">
        <v>915</v>
      </c>
    </row>
    <row r="100" spans="1:5" x14ac:dyDescent="0.2">
      <c r="A100" s="10" t="s">
        <v>928</v>
      </c>
      <c r="B100" s="10" t="s">
        <v>891</v>
      </c>
      <c r="C100" s="10" t="s">
        <v>891</v>
      </c>
      <c r="D100" s="10" t="s">
        <v>969</v>
      </c>
      <c r="E100" s="11" t="s">
        <v>915</v>
      </c>
    </row>
    <row r="101" spans="1:5" x14ac:dyDescent="0.2">
      <c r="A101" s="10" t="s">
        <v>259</v>
      </c>
      <c r="B101" s="10" t="s">
        <v>874</v>
      </c>
      <c r="C101" s="10" t="s">
        <v>894</v>
      </c>
      <c r="D101" s="10" t="s">
        <v>968</v>
      </c>
      <c r="E101" s="11" t="s">
        <v>914</v>
      </c>
    </row>
    <row r="102" spans="1:5" x14ac:dyDescent="0.2">
      <c r="A102" s="10" t="s">
        <v>929</v>
      </c>
      <c r="B102" s="10" t="s">
        <v>868</v>
      </c>
      <c r="C102" s="10" t="s">
        <v>871</v>
      </c>
      <c r="D102" s="10" t="s">
        <v>971</v>
      </c>
      <c r="E102" s="11" t="s">
        <v>914</v>
      </c>
    </row>
    <row r="103" spans="1:5" x14ac:dyDescent="0.2">
      <c r="A103" s="10" t="s">
        <v>930</v>
      </c>
      <c r="B103" s="10" t="s">
        <v>874</v>
      </c>
      <c r="C103" s="10" t="s">
        <v>891</v>
      </c>
      <c r="D103" s="10" t="s">
        <v>969</v>
      </c>
      <c r="E103" s="11" t="s">
        <v>915</v>
      </c>
    </row>
    <row r="104" spans="1:5" x14ac:dyDescent="0.2">
      <c r="A104" s="10" t="s">
        <v>115</v>
      </c>
      <c r="B104" s="10" t="s">
        <v>872</v>
      </c>
      <c r="C104" s="10" t="s">
        <v>893</v>
      </c>
      <c r="D104" s="10" t="s">
        <v>972</v>
      </c>
      <c r="E104" s="11" t="s">
        <v>909</v>
      </c>
    </row>
    <row r="105" spans="1:5" x14ac:dyDescent="0.2">
      <c r="A105" s="10" t="s">
        <v>161</v>
      </c>
      <c r="B105" s="10" t="s">
        <v>872</v>
      </c>
      <c r="C105" s="10" t="s">
        <v>895</v>
      </c>
      <c r="D105" s="10" t="s">
        <v>972</v>
      </c>
      <c r="E105" s="11" t="s">
        <v>909</v>
      </c>
    </row>
    <row r="106" spans="1:5" x14ac:dyDescent="0.2">
      <c r="A106" s="10" t="s">
        <v>131</v>
      </c>
      <c r="B106" s="10" t="s">
        <v>868</v>
      </c>
      <c r="C106" s="10" t="s">
        <v>869</v>
      </c>
      <c r="D106" s="10" t="s">
        <v>968</v>
      </c>
      <c r="E106" s="11" t="s">
        <v>910</v>
      </c>
    </row>
    <row r="107" spans="1:5" x14ac:dyDescent="0.2">
      <c r="A107" s="10" t="s">
        <v>15</v>
      </c>
      <c r="B107" s="10" t="s">
        <v>868</v>
      </c>
      <c r="C107" s="10" t="s">
        <v>884</v>
      </c>
      <c r="D107" s="10" t="s">
        <v>968</v>
      </c>
      <c r="E107" s="11" t="s">
        <v>912</v>
      </c>
    </row>
    <row r="108" spans="1:5" x14ac:dyDescent="0.2">
      <c r="A108" s="10" t="s">
        <v>211</v>
      </c>
      <c r="B108" s="10" t="s">
        <v>868</v>
      </c>
      <c r="C108" s="10" t="s">
        <v>869</v>
      </c>
      <c r="D108" s="10" t="s">
        <v>970</v>
      </c>
      <c r="E108" s="11" t="s">
        <v>913</v>
      </c>
    </row>
    <row r="109" spans="1:5" x14ac:dyDescent="0.2">
      <c r="A109" s="10" t="s">
        <v>241</v>
      </c>
      <c r="B109" s="10" t="s">
        <v>868</v>
      </c>
      <c r="C109" s="10" t="s">
        <v>882</v>
      </c>
      <c r="D109" s="10" t="s">
        <v>968</v>
      </c>
      <c r="E109" s="11" t="s">
        <v>914</v>
      </c>
    </row>
    <row r="110" spans="1:5" x14ac:dyDescent="0.2">
      <c r="A110" s="10" t="s">
        <v>41</v>
      </c>
      <c r="B110" s="10" t="s">
        <v>872</v>
      </c>
      <c r="C110" s="10" t="s">
        <v>895</v>
      </c>
      <c r="D110" s="10" t="s">
        <v>972</v>
      </c>
      <c r="E110" s="11" t="s">
        <v>909</v>
      </c>
    </row>
    <row r="111" spans="1:5" x14ac:dyDescent="0.2">
      <c r="A111" s="10" t="s">
        <v>931</v>
      </c>
      <c r="B111" s="10" t="s">
        <v>872</v>
      </c>
      <c r="C111" s="10" t="s">
        <v>895</v>
      </c>
      <c r="D111" s="10" t="s">
        <v>971</v>
      </c>
      <c r="E111" s="11" t="s">
        <v>909</v>
      </c>
    </row>
    <row r="112" spans="1:5" x14ac:dyDescent="0.2">
      <c r="A112" s="10" t="s">
        <v>147</v>
      </c>
      <c r="B112" s="10" t="s">
        <v>868</v>
      </c>
      <c r="C112" s="10" t="s">
        <v>882</v>
      </c>
      <c r="D112" s="10" t="s">
        <v>972</v>
      </c>
      <c r="E112" s="11" t="s">
        <v>909</v>
      </c>
    </row>
    <row r="113" spans="1:5" x14ac:dyDescent="0.2">
      <c r="A113" s="10" t="s">
        <v>21</v>
      </c>
      <c r="B113" s="10" t="s">
        <v>872</v>
      </c>
      <c r="C113" s="10" t="s">
        <v>873</v>
      </c>
      <c r="D113" s="10" t="s">
        <v>972</v>
      </c>
      <c r="E113" s="11" t="s">
        <v>908</v>
      </c>
    </row>
    <row r="114" spans="1:5" x14ac:dyDescent="0.2">
      <c r="A114" s="10" t="s">
        <v>932</v>
      </c>
      <c r="B114" s="10" t="s">
        <v>866</v>
      </c>
      <c r="C114" s="10" t="s">
        <v>889</v>
      </c>
      <c r="D114" s="10" t="s">
        <v>968</v>
      </c>
      <c r="E114" s="11" t="s">
        <v>914</v>
      </c>
    </row>
    <row r="115" spans="1:5" x14ac:dyDescent="0.2">
      <c r="A115" s="10" t="s">
        <v>95</v>
      </c>
      <c r="B115" s="10" t="s">
        <v>874</v>
      </c>
      <c r="C115" s="10" t="s">
        <v>881</v>
      </c>
      <c r="D115" s="10" t="s">
        <v>970</v>
      </c>
      <c r="E115" s="11" t="s">
        <v>914</v>
      </c>
    </row>
    <row r="116" spans="1:5" x14ac:dyDescent="0.2">
      <c r="A116" s="10" t="s">
        <v>27</v>
      </c>
      <c r="B116" s="10" t="s">
        <v>868</v>
      </c>
      <c r="C116" s="10" t="s">
        <v>871</v>
      </c>
      <c r="D116" s="10" t="s">
        <v>972</v>
      </c>
      <c r="E116" s="11" t="s">
        <v>908</v>
      </c>
    </row>
    <row r="117" spans="1:5" x14ac:dyDescent="0.2">
      <c r="A117" s="10" t="s">
        <v>933</v>
      </c>
      <c r="B117" s="10" t="s">
        <v>874</v>
      </c>
      <c r="C117" s="10" t="s">
        <v>891</v>
      </c>
      <c r="D117" s="10" t="s">
        <v>969</v>
      </c>
      <c r="E117" s="11" t="s">
        <v>915</v>
      </c>
    </row>
    <row r="118" spans="1:5" x14ac:dyDescent="0.2">
      <c r="A118" s="10" t="s">
        <v>934</v>
      </c>
      <c r="B118" s="10" t="s">
        <v>872</v>
      </c>
      <c r="C118" s="10" t="s">
        <v>895</v>
      </c>
      <c r="D118" s="10" t="s">
        <v>971</v>
      </c>
      <c r="E118" s="11" t="s">
        <v>909</v>
      </c>
    </row>
    <row r="119" spans="1:5" x14ac:dyDescent="0.2">
      <c r="A119" s="10" t="s">
        <v>935</v>
      </c>
      <c r="B119" s="10" t="s">
        <v>874</v>
      </c>
      <c r="C119" s="10" t="s">
        <v>891</v>
      </c>
      <c r="D119" s="10" t="s">
        <v>969</v>
      </c>
      <c r="E119" s="11" t="s">
        <v>915</v>
      </c>
    </row>
    <row r="120" spans="1:5" x14ac:dyDescent="0.2">
      <c r="A120" s="10" t="s">
        <v>203</v>
      </c>
      <c r="B120" s="10" t="s">
        <v>868</v>
      </c>
      <c r="C120" s="10" t="s">
        <v>882</v>
      </c>
      <c r="D120" s="10" t="s">
        <v>970</v>
      </c>
      <c r="E120" s="11" t="s">
        <v>914</v>
      </c>
    </row>
    <row r="121" spans="1:5" x14ac:dyDescent="0.2">
      <c r="A121" s="10" t="s">
        <v>97</v>
      </c>
      <c r="B121" s="10" t="s">
        <v>868</v>
      </c>
      <c r="C121" s="10" t="s">
        <v>936</v>
      </c>
      <c r="D121" s="10" t="s">
        <v>970</v>
      </c>
      <c r="E121" s="11" t="s">
        <v>914</v>
      </c>
    </row>
    <row r="122" spans="1:5" x14ac:dyDescent="0.2">
      <c r="A122" s="10" t="s">
        <v>67</v>
      </c>
      <c r="B122" s="10" t="s">
        <v>866</v>
      </c>
      <c r="C122" s="10" t="s">
        <v>887</v>
      </c>
      <c r="D122" s="10" t="s">
        <v>969</v>
      </c>
      <c r="E122" s="11" t="s">
        <v>913</v>
      </c>
    </row>
    <row r="123" spans="1:5" x14ac:dyDescent="0.2">
      <c r="A123" s="10" t="s">
        <v>937</v>
      </c>
      <c r="B123" s="10" t="s">
        <v>874</v>
      </c>
      <c r="C123" s="10" t="s">
        <v>891</v>
      </c>
      <c r="D123" s="10" t="s">
        <v>969</v>
      </c>
      <c r="E123" s="11" t="s">
        <v>915</v>
      </c>
    </row>
    <row r="124" spans="1:5" x14ac:dyDescent="0.2">
      <c r="A124" s="10" t="s">
        <v>355</v>
      </c>
      <c r="B124" s="10" t="s">
        <v>875</v>
      </c>
      <c r="C124" s="10" t="s">
        <v>903</v>
      </c>
      <c r="D124" s="10" t="s">
        <v>968</v>
      </c>
      <c r="E124" s="11" t="s">
        <v>915</v>
      </c>
    </row>
    <row r="125" spans="1:5" x14ac:dyDescent="0.2">
      <c r="A125" s="10" t="s">
        <v>938</v>
      </c>
      <c r="B125" s="10" t="s">
        <v>872</v>
      </c>
      <c r="C125" s="10" t="s">
        <v>873</v>
      </c>
      <c r="D125" s="10" t="s">
        <v>968</v>
      </c>
      <c r="E125" s="11" t="s">
        <v>914</v>
      </c>
    </row>
    <row r="126" spans="1:5" x14ac:dyDescent="0.2">
      <c r="A126" s="10" t="s">
        <v>247</v>
      </c>
      <c r="B126" s="10" t="s">
        <v>868</v>
      </c>
      <c r="C126" s="10" t="s">
        <v>882</v>
      </c>
      <c r="D126" s="10" t="s">
        <v>971</v>
      </c>
      <c r="E126" s="11" t="s">
        <v>914</v>
      </c>
    </row>
    <row r="127" spans="1:5" x14ac:dyDescent="0.2">
      <c r="A127" s="10" t="s">
        <v>173</v>
      </c>
      <c r="B127" s="10" t="s">
        <v>868</v>
      </c>
      <c r="C127" s="10" t="s">
        <v>936</v>
      </c>
      <c r="D127" s="10" t="s">
        <v>969</v>
      </c>
      <c r="E127" s="11" t="s">
        <v>914</v>
      </c>
    </row>
    <row r="128" spans="1:5" x14ac:dyDescent="0.2">
      <c r="A128" s="10" t="s">
        <v>257</v>
      </c>
      <c r="B128" s="10" t="s">
        <v>868</v>
      </c>
      <c r="C128" s="10" t="s">
        <v>884</v>
      </c>
      <c r="D128" s="10" t="s">
        <v>968</v>
      </c>
      <c r="E128" s="11" t="s">
        <v>915</v>
      </c>
    </row>
    <row r="129" spans="1:5" x14ac:dyDescent="0.2">
      <c r="A129" s="10" t="s">
        <v>155</v>
      </c>
      <c r="B129" s="10" t="s">
        <v>872</v>
      </c>
      <c r="C129" s="10" t="s">
        <v>895</v>
      </c>
      <c r="D129" s="10" t="s">
        <v>970</v>
      </c>
      <c r="E129" s="11" t="s">
        <v>909</v>
      </c>
    </row>
    <row r="130" spans="1:5" x14ac:dyDescent="0.2">
      <c r="A130" s="10" t="s">
        <v>225</v>
      </c>
      <c r="B130" s="10" t="s">
        <v>868</v>
      </c>
      <c r="C130" s="10" t="s">
        <v>882</v>
      </c>
      <c r="D130" s="10" t="s">
        <v>970</v>
      </c>
      <c r="E130" s="11" t="s">
        <v>914</v>
      </c>
    </row>
    <row r="131" spans="1:5" x14ac:dyDescent="0.2">
      <c r="A131" s="10" t="s">
        <v>297</v>
      </c>
      <c r="B131" s="10" t="s">
        <v>866</v>
      </c>
      <c r="C131" s="10" t="s">
        <v>892</v>
      </c>
      <c r="D131" s="10" t="s">
        <v>968</v>
      </c>
      <c r="E131" s="11" t="s">
        <v>915</v>
      </c>
    </row>
    <row r="132" spans="1:5" x14ac:dyDescent="0.2">
      <c r="A132" s="10" t="s">
        <v>321</v>
      </c>
      <c r="B132" s="10" t="s">
        <v>866</v>
      </c>
      <c r="C132" s="10" t="s">
        <v>889</v>
      </c>
      <c r="D132" s="10" t="s">
        <v>969</v>
      </c>
      <c r="E132" s="11" t="s">
        <v>915</v>
      </c>
    </row>
    <row r="133" spans="1:5" x14ac:dyDescent="0.2">
      <c r="A133" s="10" t="s">
        <v>359</v>
      </c>
      <c r="B133" s="10" t="s">
        <v>866</v>
      </c>
      <c r="C133" s="10" t="s">
        <v>867</v>
      </c>
      <c r="D133" s="10" t="s">
        <v>970</v>
      </c>
      <c r="E133" s="11" t="s">
        <v>914</v>
      </c>
    </row>
    <row r="134" spans="1:5" x14ac:dyDescent="0.2">
      <c r="A134" s="10" t="s">
        <v>363</v>
      </c>
      <c r="B134" s="10" t="s">
        <v>872</v>
      </c>
      <c r="C134" s="10" t="s">
        <v>888</v>
      </c>
      <c r="D134" s="10" t="s">
        <v>971</v>
      </c>
      <c r="E134" s="11" t="s">
        <v>909</v>
      </c>
    </row>
    <row r="135" spans="1:5" x14ac:dyDescent="0.2">
      <c r="A135" s="10" t="s">
        <v>169</v>
      </c>
      <c r="B135" s="10" t="s">
        <v>872</v>
      </c>
      <c r="C135" s="10" t="s">
        <v>895</v>
      </c>
      <c r="D135" s="10" t="s">
        <v>970</v>
      </c>
      <c r="E135" s="11" t="s">
        <v>909</v>
      </c>
    </row>
    <row r="136" spans="1:5" x14ac:dyDescent="0.2">
      <c r="A136" s="10" t="s">
        <v>165</v>
      </c>
      <c r="B136" s="10" t="s">
        <v>872</v>
      </c>
      <c r="C136" s="10" t="s">
        <v>888</v>
      </c>
      <c r="D136" s="10" t="s">
        <v>972</v>
      </c>
      <c r="E136" s="11" t="s">
        <v>909</v>
      </c>
    </row>
    <row r="137" spans="1:5" x14ac:dyDescent="0.2">
      <c r="A137" s="10" t="s">
        <v>939</v>
      </c>
      <c r="B137" s="10" t="s">
        <v>868</v>
      </c>
      <c r="C137" s="10" t="s">
        <v>871</v>
      </c>
      <c r="D137" s="10" t="s">
        <v>971</v>
      </c>
      <c r="E137" s="11" t="s">
        <v>914</v>
      </c>
    </row>
    <row r="138" spans="1:5" x14ac:dyDescent="0.2">
      <c r="A138" s="10" t="s">
        <v>319</v>
      </c>
      <c r="B138" s="10" t="s">
        <v>866</v>
      </c>
      <c r="C138" s="10" t="s">
        <v>887</v>
      </c>
      <c r="D138" s="10" t="s">
        <v>969</v>
      </c>
      <c r="E138" s="11" t="s">
        <v>915</v>
      </c>
    </row>
    <row r="139" spans="1:5" x14ac:dyDescent="0.2">
      <c r="A139" s="10" t="s">
        <v>287</v>
      </c>
      <c r="B139" s="10" t="s">
        <v>866</v>
      </c>
      <c r="C139" s="10" t="s">
        <v>887</v>
      </c>
      <c r="D139" s="10" t="s">
        <v>969</v>
      </c>
      <c r="E139" s="11" t="s">
        <v>915</v>
      </c>
    </row>
    <row r="140" spans="1:5" x14ac:dyDescent="0.2">
      <c r="A140" s="10" t="s">
        <v>73</v>
      </c>
      <c r="B140" s="10" t="s">
        <v>868</v>
      </c>
      <c r="C140" s="10" t="s">
        <v>884</v>
      </c>
      <c r="D140" s="10" t="s">
        <v>970</v>
      </c>
      <c r="E140" s="11" t="s">
        <v>914</v>
      </c>
    </row>
    <row r="141" spans="1:5" x14ac:dyDescent="0.2">
      <c r="A141" s="10" t="s">
        <v>197</v>
      </c>
      <c r="B141" s="10" t="s">
        <v>891</v>
      </c>
      <c r="C141" s="10" t="s">
        <v>869</v>
      </c>
      <c r="D141" s="10" t="s">
        <v>970</v>
      </c>
      <c r="E141" s="11" t="s">
        <v>914</v>
      </c>
    </row>
    <row r="142" spans="1:5" x14ac:dyDescent="0.2">
      <c r="A142" s="10" t="s">
        <v>279</v>
      </c>
      <c r="B142" s="10" t="s">
        <v>866</v>
      </c>
      <c r="C142" s="10" t="s">
        <v>889</v>
      </c>
      <c r="D142" s="10" t="s">
        <v>969</v>
      </c>
      <c r="E142" s="11" t="s">
        <v>915</v>
      </c>
    </row>
    <row r="143" spans="1:5" x14ac:dyDescent="0.2">
      <c r="A143" s="10" t="s">
        <v>171</v>
      </c>
      <c r="B143" s="10" t="s">
        <v>872</v>
      </c>
      <c r="C143" s="10" t="s">
        <v>873</v>
      </c>
      <c r="D143" s="10" t="s">
        <v>971</v>
      </c>
      <c r="E143" s="11" t="s">
        <v>909</v>
      </c>
    </row>
    <row r="144" spans="1:5" x14ac:dyDescent="0.2">
      <c r="A144" s="10" t="s">
        <v>367</v>
      </c>
      <c r="B144" s="10" t="s">
        <v>875</v>
      </c>
      <c r="C144" s="10" t="s">
        <v>903</v>
      </c>
      <c r="D144" s="10" t="s">
        <v>968</v>
      </c>
      <c r="E144" s="11" t="s">
        <v>914</v>
      </c>
    </row>
    <row r="145" spans="1:5" x14ac:dyDescent="0.2">
      <c r="A145" s="10" t="s">
        <v>283</v>
      </c>
      <c r="B145" s="10" t="s">
        <v>866</v>
      </c>
      <c r="C145" s="10" t="s">
        <v>889</v>
      </c>
      <c r="D145" s="10" t="s">
        <v>969</v>
      </c>
      <c r="E145" s="11" t="s">
        <v>915</v>
      </c>
    </row>
    <row r="146" spans="1:5" x14ac:dyDescent="0.2">
      <c r="A146" s="10" t="s">
        <v>223</v>
      </c>
      <c r="B146" s="10" t="s">
        <v>891</v>
      </c>
      <c r="C146" s="10" t="s">
        <v>887</v>
      </c>
      <c r="D146" s="10" t="s">
        <v>970</v>
      </c>
      <c r="E146" s="11" t="s">
        <v>914</v>
      </c>
    </row>
    <row r="147" spans="1:5" x14ac:dyDescent="0.2">
      <c r="A147" s="10" t="s">
        <v>37</v>
      </c>
      <c r="B147" s="10" t="s">
        <v>874</v>
      </c>
      <c r="C147" s="10" t="s">
        <v>894</v>
      </c>
      <c r="D147" s="10" t="s">
        <v>970</v>
      </c>
      <c r="E147" s="11" t="s">
        <v>912</v>
      </c>
    </row>
    <row r="148" spans="1:5" x14ac:dyDescent="0.2">
      <c r="A148" s="10" t="s">
        <v>940</v>
      </c>
      <c r="B148" s="10" t="s">
        <v>874</v>
      </c>
      <c r="C148" s="10" t="s">
        <v>891</v>
      </c>
      <c r="D148" s="10" t="s">
        <v>969</v>
      </c>
      <c r="E148" s="11" t="s">
        <v>915</v>
      </c>
    </row>
    <row r="149" spans="1:5" x14ac:dyDescent="0.2">
      <c r="A149" s="10" t="s">
        <v>159</v>
      </c>
      <c r="B149" s="10" t="s">
        <v>872</v>
      </c>
      <c r="C149" s="10" t="s">
        <v>893</v>
      </c>
      <c r="D149" s="10" t="s">
        <v>968</v>
      </c>
      <c r="E149" s="11" t="s">
        <v>914</v>
      </c>
    </row>
    <row r="150" spans="1:5" x14ac:dyDescent="0.2">
      <c r="A150" s="10" t="s">
        <v>365</v>
      </c>
      <c r="B150" s="10" t="s">
        <v>872</v>
      </c>
      <c r="C150" s="10" t="s">
        <v>888</v>
      </c>
      <c r="D150" s="10" t="s">
        <v>971</v>
      </c>
      <c r="E150" s="11" t="s">
        <v>909</v>
      </c>
    </row>
    <row r="151" spans="1:5" x14ac:dyDescent="0.2">
      <c r="A151" s="10" t="s">
        <v>243</v>
      </c>
      <c r="B151" s="10" t="s">
        <v>868</v>
      </c>
      <c r="C151" s="10" t="s">
        <v>871</v>
      </c>
      <c r="D151" s="10" t="s">
        <v>968</v>
      </c>
      <c r="E151" s="11" t="s">
        <v>914</v>
      </c>
    </row>
    <row r="152" spans="1:5" x14ac:dyDescent="0.2">
      <c r="A152" s="10" t="s">
        <v>195</v>
      </c>
      <c r="B152" s="10" t="s">
        <v>872</v>
      </c>
      <c r="C152" s="10" t="s">
        <v>873</v>
      </c>
      <c r="D152" s="10" t="s">
        <v>970</v>
      </c>
      <c r="E152" s="11" t="s">
        <v>914</v>
      </c>
    </row>
    <row r="153" spans="1:5" x14ac:dyDescent="0.2">
      <c r="A153" s="10" t="s">
        <v>941</v>
      </c>
      <c r="B153" s="10" t="s">
        <v>874</v>
      </c>
      <c r="C153" s="10" t="s">
        <v>881</v>
      </c>
      <c r="D153" s="10" t="s">
        <v>968</v>
      </c>
      <c r="E153" s="11" t="s">
        <v>914</v>
      </c>
    </row>
    <row r="154" spans="1:5" x14ac:dyDescent="0.2">
      <c r="A154" s="10" t="s">
        <v>81</v>
      </c>
      <c r="B154" s="10" t="s">
        <v>866</v>
      </c>
      <c r="C154" s="10" t="s">
        <v>867</v>
      </c>
      <c r="D154" s="10" t="s">
        <v>968</v>
      </c>
      <c r="E154" s="11" t="s">
        <v>914</v>
      </c>
    </row>
    <row r="155" spans="1:5" x14ac:dyDescent="0.2">
      <c r="A155" s="10" t="s">
        <v>305</v>
      </c>
      <c r="B155" s="10" t="s">
        <v>866</v>
      </c>
      <c r="C155" s="10" t="s">
        <v>887</v>
      </c>
      <c r="D155" s="10" t="s">
        <v>969</v>
      </c>
      <c r="E155" s="11" t="s">
        <v>915</v>
      </c>
    </row>
    <row r="156" spans="1:5" x14ac:dyDescent="0.2">
      <c r="A156" s="10" t="s">
        <v>271</v>
      </c>
      <c r="B156" s="10" t="s">
        <v>868</v>
      </c>
      <c r="C156" s="10" t="s">
        <v>884</v>
      </c>
      <c r="D156" s="10" t="s">
        <v>969</v>
      </c>
      <c r="E156" s="11" t="s">
        <v>915</v>
      </c>
    </row>
    <row r="157" spans="1:5" x14ac:dyDescent="0.2">
      <c r="A157" s="10" t="s">
        <v>249</v>
      </c>
      <c r="B157" s="10" t="s">
        <v>866</v>
      </c>
      <c r="C157" s="10" t="s">
        <v>892</v>
      </c>
      <c r="D157" s="10" t="s">
        <v>970</v>
      </c>
      <c r="E157" s="11" t="s">
        <v>914</v>
      </c>
    </row>
    <row r="158" spans="1:5" x14ac:dyDescent="0.2">
      <c r="A158" s="10" t="s">
        <v>369</v>
      </c>
      <c r="B158" s="10" t="s">
        <v>875</v>
      </c>
      <c r="C158" s="10" t="s">
        <v>903</v>
      </c>
      <c r="D158" s="10" t="s">
        <v>968</v>
      </c>
      <c r="E158" s="11" t="s">
        <v>914</v>
      </c>
    </row>
    <row r="159" spans="1:5" x14ac:dyDescent="0.2">
      <c r="A159" s="10" t="s">
        <v>942</v>
      </c>
      <c r="B159" s="10" t="s">
        <v>874</v>
      </c>
      <c r="C159" s="10" t="s">
        <v>891</v>
      </c>
      <c r="D159" s="10" t="s">
        <v>969</v>
      </c>
      <c r="E159" s="11" t="s">
        <v>915</v>
      </c>
    </row>
    <row r="160" spans="1:5" x14ac:dyDescent="0.2">
      <c r="A160" s="10" t="s">
        <v>231</v>
      </c>
      <c r="B160" s="10" t="s">
        <v>868</v>
      </c>
      <c r="C160" s="10" t="s">
        <v>869</v>
      </c>
      <c r="D160" s="10" t="s">
        <v>969</v>
      </c>
      <c r="E160" s="11" t="s">
        <v>915</v>
      </c>
    </row>
    <row r="161" spans="1:5" x14ac:dyDescent="0.2">
      <c r="A161" s="10" t="s">
        <v>7</v>
      </c>
      <c r="B161" s="10" t="s">
        <v>872</v>
      </c>
      <c r="C161" s="10" t="s">
        <v>888</v>
      </c>
      <c r="D161" s="10" t="s">
        <v>972</v>
      </c>
      <c r="E161" s="11" t="s">
        <v>909</v>
      </c>
    </row>
    <row r="162" spans="1:5" x14ac:dyDescent="0.2">
      <c r="A162" s="10" t="s">
        <v>943</v>
      </c>
      <c r="B162" s="10" t="s">
        <v>875</v>
      </c>
      <c r="C162" s="10" t="s">
        <v>901</v>
      </c>
      <c r="D162" s="10" t="s">
        <v>971</v>
      </c>
      <c r="E162" s="11" t="s">
        <v>914</v>
      </c>
    </row>
    <row r="163" spans="1:5" x14ac:dyDescent="0.2">
      <c r="A163" s="10" t="s">
        <v>105</v>
      </c>
      <c r="B163" s="10" t="s">
        <v>875</v>
      </c>
      <c r="C163" s="10" t="s">
        <v>886</v>
      </c>
      <c r="D163" s="10" t="s">
        <v>972</v>
      </c>
      <c r="E163" s="11" t="s">
        <v>909</v>
      </c>
    </row>
    <row r="164" spans="1:5" x14ac:dyDescent="0.2">
      <c r="A164" s="10" t="s">
        <v>239</v>
      </c>
      <c r="B164" s="10" t="s">
        <v>874</v>
      </c>
      <c r="C164" s="10" t="s">
        <v>894</v>
      </c>
      <c r="D164" s="10" t="s">
        <v>968</v>
      </c>
      <c r="E164" s="11" t="s">
        <v>914</v>
      </c>
    </row>
    <row r="165" spans="1:5" x14ac:dyDescent="0.2">
      <c r="A165" s="10" t="s">
        <v>327</v>
      </c>
      <c r="B165" s="10" t="s">
        <v>866</v>
      </c>
      <c r="C165" s="10" t="s">
        <v>889</v>
      </c>
      <c r="D165" s="10" t="s">
        <v>969</v>
      </c>
      <c r="E165" s="11" t="s">
        <v>915</v>
      </c>
    </row>
    <row r="166" spans="1:5" x14ac:dyDescent="0.2">
      <c r="A166" s="10" t="s">
        <v>61</v>
      </c>
      <c r="B166" s="10" t="s">
        <v>866</v>
      </c>
      <c r="C166" s="10" t="s">
        <v>889</v>
      </c>
      <c r="D166" s="10" t="s">
        <v>968</v>
      </c>
      <c r="E166" s="11" t="s">
        <v>913</v>
      </c>
    </row>
    <row r="167" spans="1:5" x14ac:dyDescent="0.2">
      <c r="A167" s="10" t="s">
        <v>944</v>
      </c>
      <c r="B167" s="10" t="s">
        <v>875</v>
      </c>
      <c r="C167" s="10" t="s">
        <v>877</v>
      </c>
      <c r="D167" s="10" t="s">
        <v>970</v>
      </c>
      <c r="E167" s="11" t="s">
        <v>914</v>
      </c>
    </row>
    <row r="168" spans="1:5" x14ac:dyDescent="0.2">
      <c r="A168" s="10" t="s">
        <v>945</v>
      </c>
      <c r="B168" s="10" t="s">
        <v>875</v>
      </c>
      <c r="C168" s="10" t="s">
        <v>886</v>
      </c>
      <c r="D168" s="10" t="s">
        <v>968</v>
      </c>
      <c r="E168" s="11" t="s">
        <v>914</v>
      </c>
    </row>
    <row r="169" spans="1:5" x14ac:dyDescent="0.2">
      <c r="A169" s="10" t="s">
        <v>373</v>
      </c>
      <c r="B169" s="10" t="s">
        <v>868</v>
      </c>
      <c r="C169" s="10" t="s">
        <v>871</v>
      </c>
      <c r="D169" s="10" t="s">
        <v>969</v>
      </c>
      <c r="E169" s="11" t="s">
        <v>915</v>
      </c>
    </row>
    <row r="170" spans="1:5" x14ac:dyDescent="0.2">
      <c r="A170" s="10" t="s">
        <v>946</v>
      </c>
      <c r="B170" s="10" t="s">
        <v>875</v>
      </c>
      <c r="C170" s="10" t="s">
        <v>903</v>
      </c>
      <c r="D170" s="10" t="s">
        <v>971</v>
      </c>
      <c r="E170" s="11" t="s">
        <v>914</v>
      </c>
    </row>
    <row r="171" spans="1:5" x14ac:dyDescent="0.2">
      <c r="A171" s="10" t="s">
        <v>13</v>
      </c>
      <c r="B171" s="10" t="s">
        <v>872</v>
      </c>
      <c r="C171" s="10" t="s">
        <v>895</v>
      </c>
      <c r="D171" s="10" t="s">
        <v>972</v>
      </c>
      <c r="E171" s="11" t="s">
        <v>909</v>
      </c>
    </row>
    <row r="172" spans="1:5" x14ac:dyDescent="0.2">
      <c r="A172" s="10" t="s">
        <v>217</v>
      </c>
      <c r="B172" s="10" t="s">
        <v>868</v>
      </c>
      <c r="C172" s="10" t="s">
        <v>882</v>
      </c>
      <c r="D172" s="10" t="s">
        <v>971</v>
      </c>
      <c r="E172" s="11" t="s">
        <v>914</v>
      </c>
    </row>
    <row r="173" spans="1:5" x14ac:dyDescent="0.2">
      <c r="A173" s="10" t="s">
        <v>77</v>
      </c>
      <c r="B173" s="10" t="s">
        <v>868</v>
      </c>
      <c r="C173" s="10" t="s">
        <v>869</v>
      </c>
      <c r="D173" s="10" t="s">
        <v>968</v>
      </c>
      <c r="E173" s="11" t="s">
        <v>913</v>
      </c>
    </row>
    <row r="174" spans="1:5" x14ac:dyDescent="0.2">
      <c r="A174" s="10" t="s">
        <v>371</v>
      </c>
      <c r="B174" s="10" t="s">
        <v>875</v>
      </c>
      <c r="C174" s="10" t="s">
        <v>903</v>
      </c>
      <c r="D174" s="10" t="s">
        <v>970</v>
      </c>
      <c r="E174" s="11" t="s">
        <v>914</v>
      </c>
    </row>
    <row r="175" spans="1:5" x14ac:dyDescent="0.2">
      <c r="A175" s="10" t="s">
        <v>899</v>
      </c>
      <c r="B175" s="10" t="s">
        <v>868</v>
      </c>
      <c r="C175" s="10" t="s">
        <v>882</v>
      </c>
      <c r="D175" s="10" t="s">
        <v>968</v>
      </c>
      <c r="E175" s="11" t="s">
        <v>914</v>
      </c>
    </row>
    <row r="176" spans="1:5" x14ac:dyDescent="0.2">
      <c r="A176" s="10" t="s">
        <v>947</v>
      </c>
      <c r="B176" s="10" t="s">
        <v>874</v>
      </c>
      <c r="C176" s="10" t="s">
        <v>891</v>
      </c>
      <c r="D176" s="10" t="s">
        <v>969</v>
      </c>
      <c r="E176" s="11" t="s">
        <v>915</v>
      </c>
    </row>
    <row r="177" spans="1:5" x14ac:dyDescent="0.2">
      <c r="A177" s="10" t="s">
        <v>229</v>
      </c>
      <c r="B177" s="10" t="s">
        <v>874</v>
      </c>
      <c r="C177" s="10" t="s">
        <v>894</v>
      </c>
      <c r="D177" s="10" t="s">
        <v>970</v>
      </c>
      <c r="E177" s="11" t="s">
        <v>914</v>
      </c>
    </row>
    <row r="178" spans="1:5" x14ac:dyDescent="0.2">
      <c r="A178" s="10" t="s">
        <v>303</v>
      </c>
      <c r="B178" s="10" t="s">
        <v>875</v>
      </c>
      <c r="C178" s="10" t="s">
        <v>901</v>
      </c>
      <c r="D178" s="10" t="s">
        <v>968</v>
      </c>
      <c r="E178" s="11" t="s">
        <v>914</v>
      </c>
    </row>
    <row r="179" spans="1:5" x14ac:dyDescent="0.2">
      <c r="A179" s="10" t="s">
        <v>213</v>
      </c>
      <c r="B179" s="10" t="s">
        <v>878</v>
      </c>
      <c r="C179" s="10" t="s">
        <v>878</v>
      </c>
      <c r="D179" s="10" t="s">
        <v>968</v>
      </c>
      <c r="E179" s="11" t="s">
        <v>913</v>
      </c>
    </row>
    <row r="180" spans="1:5" x14ac:dyDescent="0.2">
      <c r="A180" s="10" t="s">
        <v>123</v>
      </c>
      <c r="B180" s="10" t="s">
        <v>878</v>
      </c>
      <c r="C180" s="10" t="s">
        <v>878</v>
      </c>
      <c r="D180" s="10" t="s">
        <v>970</v>
      </c>
      <c r="E180" s="11" t="s">
        <v>913</v>
      </c>
    </row>
    <row r="181" spans="1:5" x14ac:dyDescent="0.2">
      <c r="A181" s="10" t="s">
        <v>69</v>
      </c>
      <c r="B181" s="10" t="s">
        <v>868</v>
      </c>
      <c r="C181" s="10" t="s">
        <v>884</v>
      </c>
      <c r="D181" s="10" t="s">
        <v>968</v>
      </c>
      <c r="E181" s="11" t="s">
        <v>913</v>
      </c>
    </row>
    <row r="182" spans="1:5" x14ac:dyDescent="0.2">
      <c r="A182" s="10" t="s">
        <v>948</v>
      </c>
      <c r="B182" s="10" t="s">
        <v>875</v>
      </c>
      <c r="C182" s="10" t="s">
        <v>877</v>
      </c>
      <c r="D182" s="10" t="s">
        <v>969</v>
      </c>
      <c r="E182" s="11" t="s">
        <v>915</v>
      </c>
    </row>
    <row r="183" spans="1:5" x14ac:dyDescent="0.2">
      <c r="A183" s="10" t="s">
        <v>89</v>
      </c>
      <c r="B183" s="10" t="s">
        <v>872</v>
      </c>
      <c r="C183" s="10" t="s">
        <v>893</v>
      </c>
      <c r="D183" s="10" t="s">
        <v>972</v>
      </c>
      <c r="E183" s="11" t="s">
        <v>909</v>
      </c>
    </row>
    <row r="184" spans="1:5" x14ac:dyDescent="0.2">
      <c r="A184" s="10" t="s">
        <v>23</v>
      </c>
      <c r="B184" s="10" t="s">
        <v>872</v>
      </c>
      <c r="C184" s="10" t="s">
        <v>873</v>
      </c>
      <c r="D184" s="10" t="s">
        <v>972</v>
      </c>
      <c r="E184" s="11" t="s">
        <v>909</v>
      </c>
    </row>
    <row r="185" spans="1:5" x14ac:dyDescent="0.2">
      <c r="A185" s="10" t="s">
        <v>949</v>
      </c>
      <c r="B185" s="10" t="s">
        <v>874</v>
      </c>
      <c r="C185" s="10" t="s">
        <v>881</v>
      </c>
      <c r="D185" s="10" t="s">
        <v>971</v>
      </c>
      <c r="E185" s="11" t="s">
        <v>914</v>
      </c>
    </row>
    <row r="186" spans="1:5" x14ac:dyDescent="0.2">
      <c r="A186" s="10" t="s">
        <v>233</v>
      </c>
      <c r="B186" s="10" t="s">
        <v>868</v>
      </c>
      <c r="C186" s="10" t="s">
        <v>882</v>
      </c>
      <c r="D186" s="10" t="s">
        <v>971</v>
      </c>
      <c r="E186" s="11" t="s">
        <v>914</v>
      </c>
    </row>
    <row r="187" spans="1:5" x14ac:dyDescent="0.2">
      <c r="A187" s="10" t="s">
        <v>187</v>
      </c>
      <c r="B187" s="10" t="s">
        <v>872</v>
      </c>
      <c r="C187" s="10" t="s">
        <v>873</v>
      </c>
      <c r="D187" s="10" t="s">
        <v>970</v>
      </c>
      <c r="E187" s="11" t="s">
        <v>914</v>
      </c>
    </row>
    <row r="188" spans="1:5" x14ac:dyDescent="0.2">
      <c r="A188" s="10" t="s">
        <v>309</v>
      </c>
      <c r="B188" s="10" t="s">
        <v>866</v>
      </c>
      <c r="C188" s="10" t="s">
        <v>879</v>
      </c>
      <c r="D188" s="10" t="s">
        <v>968</v>
      </c>
      <c r="E188" s="11" t="s">
        <v>914</v>
      </c>
    </row>
    <row r="189" spans="1:5" x14ac:dyDescent="0.2">
      <c r="A189" s="10" t="s">
        <v>57</v>
      </c>
      <c r="B189" s="10" t="s">
        <v>872</v>
      </c>
      <c r="C189" s="10" t="s">
        <v>893</v>
      </c>
      <c r="D189" s="10" t="s">
        <v>970</v>
      </c>
      <c r="E189" s="11" t="s">
        <v>909</v>
      </c>
    </row>
    <row r="190" spans="1:5" x14ac:dyDescent="0.2">
      <c r="A190" s="10" t="s">
        <v>145</v>
      </c>
      <c r="B190" s="10" t="s">
        <v>872</v>
      </c>
      <c r="C190" s="10" t="s">
        <v>893</v>
      </c>
      <c r="D190" s="10" t="s">
        <v>970</v>
      </c>
      <c r="E190" s="11" t="s">
        <v>910</v>
      </c>
    </row>
    <row r="191" spans="1:5" x14ac:dyDescent="0.2">
      <c r="A191" s="10" t="s">
        <v>135</v>
      </c>
      <c r="B191" s="10" t="s">
        <v>866</v>
      </c>
      <c r="C191" s="10" t="s">
        <v>887</v>
      </c>
      <c r="D191" s="10" t="s">
        <v>969</v>
      </c>
      <c r="E191" s="11" t="s">
        <v>915</v>
      </c>
    </row>
    <row r="192" spans="1:5" x14ac:dyDescent="0.2">
      <c r="A192" s="10" t="s">
        <v>950</v>
      </c>
      <c r="B192" s="10" t="s">
        <v>872</v>
      </c>
      <c r="C192" s="10" t="s">
        <v>888</v>
      </c>
      <c r="D192" s="10" t="s">
        <v>972</v>
      </c>
      <c r="E192" s="11" t="s">
        <v>909</v>
      </c>
    </row>
    <row r="193" spans="1:5" x14ac:dyDescent="0.2">
      <c r="A193" s="10" t="s">
        <v>951</v>
      </c>
      <c r="B193" s="10" t="s">
        <v>891</v>
      </c>
      <c r="C193" s="10" t="s">
        <v>889</v>
      </c>
      <c r="D193" s="10" t="s">
        <v>968</v>
      </c>
      <c r="E193" s="11" t="s">
        <v>914</v>
      </c>
    </row>
    <row r="194" spans="1:5" x14ac:dyDescent="0.2">
      <c r="A194" s="10" t="s">
        <v>357</v>
      </c>
      <c r="B194" s="10" t="s">
        <v>874</v>
      </c>
      <c r="C194" s="10" t="s">
        <v>881</v>
      </c>
      <c r="D194" s="10" t="s">
        <v>971</v>
      </c>
      <c r="E194" s="11" t="s">
        <v>914</v>
      </c>
    </row>
    <row r="195" spans="1:5" x14ac:dyDescent="0.2">
      <c r="A195" s="10" t="s">
        <v>361</v>
      </c>
      <c r="B195" s="10" t="s">
        <v>874</v>
      </c>
      <c r="C195" s="10" t="s">
        <v>881</v>
      </c>
      <c r="D195" s="10" t="s">
        <v>970</v>
      </c>
      <c r="E195" s="11" t="s">
        <v>914</v>
      </c>
    </row>
    <row r="196" spans="1:5" x14ac:dyDescent="0.2">
      <c r="A196" s="10" t="s">
        <v>952</v>
      </c>
      <c r="B196" s="10" t="s">
        <v>874</v>
      </c>
      <c r="C196" s="10" t="s">
        <v>881</v>
      </c>
      <c r="D196" s="10" t="s">
        <v>971</v>
      </c>
      <c r="E196" s="11" t="s">
        <v>914</v>
      </c>
    </row>
    <row r="197" spans="1:5" x14ac:dyDescent="0.2">
      <c r="A197" s="10" t="s">
        <v>953</v>
      </c>
      <c r="B197" s="10" t="s">
        <v>874</v>
      </c>
      <c r="C197" s="10" t="s">
        <v>897</v>
      </c>
      <c r="D197" s="10" t="s">
        <v>970</v>
      </c>
      <c r="E197" s="11" t="s">
        <v>909</v>
      </c>
    </row>
    <row r="198" spans="1:5" x14ac:dyDescent="0.2">
      <c r="A198" s="10" t="s">
        <v>385</v>
      </c>
      <c r="B198" s="10" t="s">
        <v>874</v>
      </c>
      <c r="C198" s="10" t="s">
        <v>881</v>
      </c>
      <c r="D198" s="10" t="s">
        <v>970</v>
      </c>
      <c r="E198" s="11" t="s">
        <v>914</v>
      </c>
    </row>
    <row r="199" spans="1:5" x14ac:dyDescent="0.2">
      <c r="A199" s="10" t="s">
        <v>954</v>
      </c>
      <c r="B199" s="10" t="s">
        <v>874</v>
      </c>
      <c r="C199" s="10" t="s">
        <v>881</v>
      </c>
      <c r="D199" s="10" t="s">
        <v>972</v>
      </c>
      <c r="E199" s="11" t="s">
        <v>909</v>
      </c>
    </row>
    <row r="200" spans="1:5" x14ac:dyDescent="0.2">
      <c r="A200" s="10" t="s">
        <v>87</v>
      </c>
      <c r="B200" s="10" t="s">
        <v>875</v>
      </c>
      <c r="C200" s="10" t="s">
        <v>877</v>
      </c>
      <c r="D200" s="10" t="s">
        <v>968</v>
      </c>
      <c r="E200" s="11" t="s">
        <v>915</v>
      </c>
    </row>
    <row r="201" spans="1:5" x14ac:dyDescent="0.2">
      <c r="A201" s="10" t="s">
        <v>377</v>
      </c>
      <c r="B201" s="10" t="s">
        <v>872</v>
      </c>
      <c r="C201" s="10" t="s">
        <v>873</v>
      </c>
      <c r="D201" s="10" t="s">
        <v>971</v>
      </c>
      <c r="E201" s="11" t="s">
        <v>909</v>
      </c>
    </row>
    <row r="202" spans="1:5" x14ac:dyDescent="0.2">
      <c r="A202" s="10" t="s">
        <v>955</v>
      </c>
      <c r="B202" s="10" t="s">
        <v>866</v>
      </c>
      <c r="C202" s="10" t="s">
        <v>879</v>
      </c>
      <c r="D202" s="10" t="s">
        <v>968</v>
      </c>
      <c r="E202" s="11" t="s">
        <v>915</v>
      </c>
    </row>
    <row r="203" spans="1:5" x14ac:dyDescent="0.2">
      <c r="A203" s="10" t="s">
        <v>75</v>
      </c>
      <c r="B203" s="10" t="s">
        <v>868</v>
      </c>
      <c r="C203" s="10" t="s">
        <v>882</v>
      </c>
      <c r="D203" s="10" t="s">
        <v>971</v>
      </c>
      <c r="E203" s="11" t="s">
        <v>909</v>
      </c>
    </row>
    <row r="204" spans="1:5" x14ac:dyDescent="0.2">
      <c r="A204" s="10" t="s">
        <v>59</v>
      </c>
      <c r="B204" s="10" t="s">
        <v>866</v>
      </c>
      <c r="C204" s="10" t="s">
        <v>889</v>
      </c>
      <c r="D204" s="10" t="s">
        <v>968</v>
      </c>
      <c r="E204" s="11" t="s">
        <v>915</v>
      </c>
    </row>
    <row r="205" spans="1:5" x14ac:dyDescent="0.2">
      <c r="A205" s="10" t="s">
        <v>103</v>
      </c>
      <c r="B205" s="10" t="s">
        <v>872</v>
      </c>
      <c r="C205" s="10" t="s">
        <v>873</v>
      </c>
      <c r="D205" s="10" t="s">
        <v>970</v>
      </c>
      <c r="E205" s="11" t="s">
        <v>914</v>
      </c>
    </row>
    <row r="206" spans="1:5" x14ac:dyDescent="0.2">
      <c r="A206" s="10" t="s">
        <v>111</v>
      </c>
      <c r="B206" s="10" t="s">
        <v>891</v>
      </c>
      <c r="C206" s="10" t="s">
        <v>887</v>
      </c>
      <c r="D206" s="10" t="s">
        <v>970</v>
      </c>
      <c r="E206" s="11" t="s">
        <v>914</v>
      </c>
    </row>
    <row r="207" spans="1:5" x14ac:dyDescent="0.2">
      <c r="A207" s="10" t="s">
        <v>291</v>
      </c>
      <c r="B207" s="10" t="s">
        <v>866</v>
      </c>
      <c r="C207" s="10" t="s">
        <v>889</v>
      </c>
      <c r="D207" s="10" t="s">
        <v>969</v>
      </c>
      <c r="E207" s="11" t="s">
        <v>915</v>
      </c>
    </row>
    <row r="208" spans="1:5" x14ac:dyDescent="0.2">
      <c r="A208" s="10" t="s">
        <v>193</v>
      </c>
      <c r="B208" s="10" t="s">
        <v>868</v>
      </c>
      <c r="C208" s="10" t="s">
        <v>884</v>
      </c>
      <c r="D208" s="10" t="s">
        <v>971</v>
      </c>
      <c r="E208" s="11" t="s">
        <v>914</v>
      </c>
    </row>
    <row r="209" spans="1:5" x14ac:dyDescent="0.2">
      <c r="A209" s="10" t="s">
        <v>956</v>
      </c>
      <c r="B209" s="10" t="s">
        <v>872</v>
      </c>
      <c r="C209" s="10" t="s">
        <v>888</v>
      </c>
      <c r="D209" s="10" t="s">
        <v>972</v>
      </c>
      <c r="E209" s="11" t="s">
        <v>909</v>
      </c>
    </row>
    <row r="210" spans="1:5" x14ac:dyDescent="0.2">
      <c r="A210" s="10" t="s">
        <v>957</v>
      </c>
      <c r="B210" s="10" t="s">
        <v>874</v>
      </c>
      <c r="C210" s="10" t="s">
        <v>881</v>
      </c>
      <c r="D210" s="10" t="s">
        <v>971</v>
      </c>
      <c r="E210" s="11" t="s">
        <v>914</v>
      </c>
    </row>
    <row r="211" spans="1:5" x14ac:dyDescent="0.2">
      <c r="A211" s="10" t="s">
        <v>157</v>
      </c>
      <c r="B211" s="10" t="s">
        <v>872</v>
      </c>
      <c r="C211" s="10" t="s">
        <v>893</v>
      </c>
      <c r="D211" s="10" t="s">
        <v>972</v>
      </c>
      <c r="E211" s="11" t="s">
        <v>909</v>
      </c>
    </row>
    <row r="212" spans="1:5" x14ac:dyDescent="0.2">
      <c r="A212" s="10" t="s">
        <v>43</v>
      </c>
      <c r="B212" s="10" t="s">
        <v>872</v>
      </c>
      <c r="C212" s="10" t="s">
        <v>873</v>
      </c>
      <c r="D212" s="10" t="s">
        <v>972</v>
      </c>
      <c r="E212" s="11" t="s">
        <v>909</v>
      </c>
    </row>
    <row r="213" spans="1:5" x14ac:dyDescent="0.2">
      <c r="A213" s="10" t="s">
        <v>375</v>
      </c>
      <c r="B213" s="10" t="s">
        <v>875</v>
      </c>
      <c r="C213" s="10" t="s">
        <v>901</v>
      </c>
      <c r="D213" s="10" t="s">
        <v>968</v>
      </c>
      <c r="E213" s="11" t="s">
        <v>915</v>
      </c>
    </row>
    <row r="214" spans="1:5" x14ac:dyDescent="0.2">
      <c r="A214" s="10" t="s">
        <v>329</v>
      </c>
      <c r="B214" s="10" t="s">
        <v>866</v>
      </c>
      <c r="C214" s="10" t="s">
        <v>887</v>
      </c>
      <c r="D214" s="10" t="s">
        <v>969</v>
      </c>
      <c r="E214" s="11" t="s">
        <v>915</v>
      </c>
    </row>
    <row r="215" spans="1:5" x14ac:dyDescent="0.2">
      <c r="A215" s="10" t="s">
        <v>113</v>
      </c>
      <c r="B215" s="10" t="s">
        <v>866</v>
      </c>
      <c r="C215" s="10" t="s">
        <v>892</v>
      </c>
      <c r="D215" s="10" t="s">
        <v>970</v>
      </c>
      <c r="E215" s="11" t="s">
        <v>913</v>
      </c>
    </row>
    <row r="216" spans="1:5" x14ac:dyDescent="0.2">
      <c r="A216" s="10" t="s">
        <v>958</v>
      </c>
      <c r="B216" s="10" t="s">
        <v>891</v>
      </c>
      <c r="C216" s="10" t="s">
        <v>891</v>
      </c>
      <c r="D216" s="10" t="s">
        <v>969</v>
      </c>
      <c r="E216" s="11" t="s">
        <v>915</v>
      </c>
    </row>
    <row r="217" spans="1:5" x14ac:dyDescent="0.2">
      <c r="A217" s="10" t="s">
        <v>107</v>
      </c>
      <c r="B217" s="10" t="s">
        <v>868</v>
      </c>
      <c r="C217" s="10" t="s">
        <v>871</v>
      </c>
      <c r="D217" s="10" t="s">
        <v>972</v>
      </c>
      <c r="E217" s="11" t="s">
        <v>912</v>
      </c>
    </row>
    <row r="218" spans="1:5" x14ac:dyDescent="0.2">
      <c r="A218" s="10" t="s">
        <v>337</v>
      </c>
      <c r="B218" s="10" t="s">
        <v>866</v>
      </c>
      <c r="C218" s="10" t="s">
        <v>887</v>
      </c>
      <c r="D218" s="10" t="s">
        <v>969</v>
      </c>
      <c r="E218" s="11" t="s">
        <v>915</v>
      </c>
    </row>
    <row r="219" spans="1:5" x14ac:dyDescent="0.2">
      <c r="A219" s="10" t="s">
        <v>25</v>
      </c>
      <c r="B219" s="10" t="s">
        <v>872</v>
      </c>
      <c r="C219" s="10" t="s">
        <v>873</v>
      </c>
      <c r="D219" s="10" t="s">
        <v>972</v>
      </c>
      <c r="E219" s="11" t="s">
        <v>909</v>
      </c>
    </row>
    <row r="220" spans="1:5" x14ac:dyDescent="0.2">
      <c r="A220" s="10" t="s">
        <v>207</v>
      </c>
      <c r="B220" s="10" t="s">
        <v>868</v>
      </c>
      <c r="C220" s="10" t="s">
        <v>869</v>
      </c>
      <c r="D220" s="10" t="s">
        <v>968</v>
      </c>
      <c r="E220" s="11" t="s">
        <v>914</v>
      </c>
    </row>
    <row r="221" spans="1:5" x14ac:dyDescent="0.2">
      <c r="A221" s="10" t="s">
        <v>325</v>
      </c>
      <c r="B221" s="10" t="s">
        <v>866</v>
      </c>
      <c r="C221" s="10" t="s">
        <v>867</v>
      </c>
      <c r="D221" s="10" t="s">
        <v>968</v>
      </c>
      <c r="E221" s="11" t="s">
        <v>914</v>
      </c>
    </row>
    <row r="222" spans="1:5" x14ac:dyDescent="0.2">
      <c r="A222" s="10" t="s">
        <v>221</v>
      </c>
      <c r="B222" s="10" t="s">
        <v>878</v>
      </c>
      <c r="C222" s="10" t="s">
        <v>878</v>
      </c>
      <c r="D222" s="10" t="s">
        <v>970</v>
      </c>
      <c r="E222" s="11" t="s">
        <v>914</v>
      </c>
    </row>
    <row r="223" spans="1:5" x14ac:dyDescent="0.2">
      <c r="A223" s="10" t="s">
        <v>3</v>
      </c>
      <c r="B223" s="10" t="s">
        <v>872</v>
      </c>
      <c r="C223" s="10" t="s">
        <v>895</v>
      </c>
      <c r="D223" s="10" t="s">
        <v>972</v>
      </c>
      <c r="E223" s="11" t="s">
        <v>909</v>
      </c>
    </row>
    <row r="224" spans="1:5" x14ac:dyDescent="0.2">
      <c r="A224" s="10" t="s">
        <v>5</v>
      </c>
      <c r="B224" s="10" t="s">
        <v>872</v>
      </c>
      <c r="C224" s="10" t="s">
        <v>888</v>
      </c>
      <c r="D224" s="10" t="s">
        <v>972</v>
      </c>
      <c r="E224" s="11" t="s">
        <v>909</v>
      </c>
    </row>
    <row r="225" spans="1:5" x14ac:dyDescent="0.2">
      <c r="A225" s="10" t="s">
        <v>277</v>
      </c>
      <c r="B225" s="10" t="s">
        <v>868</v>
      </c>
      <c r="C225" s="10" t="s">
        <v>882</v>
      </c>
      <c r="D225" s="10" t="s">
        <v>968</v>
      </c>
      <c r="E225" s="11" t="s">
        <v>914</v>
      </c>
    </row>
    <row r="226" spans="1:5" x14ac:dyDescent="0.2">
      <c r="A226" s="10" t="s">
        <v>209</v>
      </c>
      <c r="B226" s="10" t="s">
        <v>868</v>
      </c>
      <c r="C226" s="10" t="s">
        <v>936</v>
      </c>
      <c r="D226" s="10" t="s">
        <v>969</v>
      </c>
      <c r="E226" s="11" t="s">
        <v>914</v>
      </c>
    </row>
    <row r="227" spans="1:5" x14ac:dyDescent="0.2">
      <c r="A227" s="10" t="s">
        <v>285</v>
      </c>
      <c r="B227" s="10" t="s">
        <v>866</v>
      </c>
      <c r="C227" s="10" t="s">
        <v>887</v>
      </c>
      <c r="D227" s="10" t="s">
        <v>969</v>
      </c>
      <c r="E227" s="11" t="s">
        <v>915</v>
      </c>
    </row>
    <row r="228" spans="1:5" x14ac:dyDescent="0.2">
      <c r="A228" s="10" t="s">
        <v>51</v>
      </c>
      <c r="B228" s="10" t="s">
        <v>868</v>
      </c>
      <c r="C228" s="10" t="s">
        <v>884</v>
      </c>
      <c r="D228" s="10" t="s">
        <v>970</v>
      </c>
      <c r="E228" s="11" t="s">
        <v>913</v>
      </c>
    </row>
    <row r="229" spans="1:5" x14ac:dyDescent="0.2">
      <c r="A229" s="10" t="s">
        <v>269</v>
      </c>
      <c r="B229" s="10" t="s">
        <v>874</v>
      </c>
      <c r="C229" s="10" t="s">
        <v>881</v>
      </c>
      <c r="D229" s="10" t="s">
        <v>971</v>
      </c>
      <c r="E229" s="11" t="s">
        <v>914</v>
      </c>
    </row>
    <row r="230" spans="1:5" x14ac:dyDescent="0.2">
      <c r="A230" s="10" t="s">
        <v>275</v>
      </c>
      <c r="B230" s="10" t="s">
        <v>866</v>
      </c>
      <c r="C230" s="10" t="s">
        <v>889</v>
      </c>
      <c r="D230" s="10" t="s">
        <v>969</v>
      </c>
      <c r="E230" s="11" t="s">
        <v>915</v>
      </c>
    </row>
    <row r="231" spans="1:5" x14ac:dyDescent="0.2">
      <c r="A231" s="10" t="s">
        <v>289</v>
      </c>
      <c r="B231" s="10" t="s">
        <v>866</v>
      </c>
      <c r="C231" s="10" t="s">
        <v>889</v>
      </c>
      <c r="D231" s="10" t="s">
        <v>969</v>
      </c>
      <c r="E231" s="11" t="s">
        <v>915</v>
      </c>
    </row>
    <row r="232" spans="1:5" x14ac:dyDescent="0.2">
      <c r="A232" s="10" t="s">
        <v>959</v>
      </c>
      <c r="B232" s="10" t="s">
        <v>875</v>
      </c>
      <c r="C232" s="10" t="s">
        <v>886</v>
      </c>
      <c r="D232" s="10" t="s">
        <v>972</v>
      </c>
      <c r="E232" s="11" t="s">
        <v>909</v>
      </c>
    </row>
    <row r="233" spans="1:5" x14ac:dyDescent="0.2">
      <c r="A233" s="10" t="s">
        <v>381</v>
      </c>
      <c r="B233" s="10" t="s">
        <v>875</v>
      </c>
      <c r="C233" s="10" t="s">
        <v>877</v>
      </c>
      <c r="D233" s="10" t="s">
        <v>968</v>
      </c>
      <c r="E233" s="11" t="s">
        <v>914</v>
      </c>
    </row>
    <row r="234" spans="1:5" x14ac:dyDescent="0.2">
      <c r="A234" s="10" t="s">
        <v>255</v>
      </c>
      <c r="B234" s="10" t="s">
        <v>874</v>
      </c>
      <c r="C234" s="10" t="s">
        <v>881</v>
      </c>
      <c r="D234" s="10" t="s">
        <v>971</v>
      </c>
      <c r="E234" s="11" t="s">
        <v>914</v>
      </c>
    </row>
    <row r="235" spans="1:5" x14ac:dyDescent="0.2">
      <c r="A235" s="10" t="s">
        <v>185</v>
      </c>
      <c r="B235" s="10" t="s">
        <v>866</v>
      </c>
      <c r="C235" s="10" t="s">
        <v>867</v>
      </c>
      <c r="D235" s="10" t="s">
        <v>970</v>
      </c>
      <c r="E235" s="11" t="s">
        <v>914</v>
      </c>
    </row>
    <row r="236" spans="1:5" x14ac:dyDescent="0.2">
      <c r="A236" s="10" t="s">
        <v>93</v>
      </c>
      <c r="B236" s="10" t="s">
        <v>868</v>
      </c>
      <c r="C236" s="10" t="s">
        <v>882</v>
      </c>
      <c r="D236" s="10" t="s">
        <v>970</v>
      </c>
      <c r="E236" s="11" t="s">
        <v>912</v>
      </c>
    </row>
    <row r="237" spans="1:5" x14ac:dyDescent="0.2">
      <c r="A237" s="10" t="s">
        <v>219</v>
      </c>
      <c r="B237" s="10" t="s">
        <v>868</v>
      </c>
      <c r="C237" s="10" t="s">
        <v>936</v>
      </c>
      <c r="D237" s="10" t="s">
        <v>970</v>
      </c>
      <c r="E237" s="11" t="s">
        <v>914</v>
      </c>
    </row>
    <row r="238" spans="1:5" x14ac:dyDescent="0.2">
      <c r="A238" s="10" t="s">
        <v>960</v>
      </c>
      <c r="B238" s="10" t="s">
        <v>874</v>
      </c>
      <c r="C238" s="10" t="s">
        <v>881</v>
      </c>
      <c r="D238" s="10" t="s">
        <v>971</v>
      </c>
      <c r="E238" s="11" t="s">
        <v>914</v>
      </c>
    </row>
    <row r="239" spans="1:5" x14ac:dyDescent="0.2">
      <c r="A239" s="10" t="s">
        <v>383</v>
      </c>
      <c r="B239" s="10" t="s">
        <v>875</v>
      </c>
      <c r="C239" s="10" t="s">
        <v>877</v>
      </c>
      <c r="D239" s="10" t="s">
        <v>970</v>
      </c>
      <c r="E239" s="11" t="s">
        <v>915</v>
      </c>
    </row>
    <row r="240" spans="1:5" x14ac:dyDescent="0.2">
      <c r="A240" s="10" t="s">
        <v>85</v>
      </c>
      <c r="B240" s="10" t="s">
        <v>866</v>
      </c>
      <c r="C240" s="10" t="s">
        <v>887</v>
      </c>
      <c r="D240" s="10" t="s">
        <v>969</v>
      </c>
      <c r="E240" s="11" t="s">
        <v>915</v>
      </c>
    </row>
    <row r="241" spans="1:5" x14ac:dyDescent="0.2">
      <c r="A241" s="10" t="s">
        <v>127</v>
      </c>
      <c r="B241" s="10" t="s">
        <v>872</v>
      </c>
      <c r="C241" s="10" t="s">
        <v>893</v>
      </c>
      <c r="D241" s="10" t="s">
        <v>968</v>
      </c>
      <c r="E241" s="11" t="s">
        <v>914</v>
      </c>
    </row>
    <row r="242" spans="1:5" x14ac:dyDescent="0.2">
      <c r="A242" s="10" t="s">
        <v>205</v>
      </c>
      <c r="B242" s="10" t="s">
        <v>868</v>
      </c>
      <c r="C242" s="10" t="s">
        <v>882</v>
      </c>
      <c r="D242" s="10" t="s">
        <v>971</v>
      </c>
      <c r="E242" s="11" t="s">
        <v>914</v>
      </c>
    </row>
    <row r="243" spans="1:5" x14ac:dyDescent="0.2">
      <c r="A243" s="10" t="s">
        <v>109</v>
      </c>
      <c r="B243" s="10" t="s">
        <v>872</v>
      </c>
      <c r="C243" s="10" t="s">
        <v>895</v>
      </c>
      <c r="D243" s="10" t="s">
        <v>972</v>
      </c>
      <c r="E243" s="11" t="s">
        <v>908</v>
      </c>
    </row>
    <row r="244" spans="1:5" x14ac:dyDescent="0.2">
      <c r="A244" s="10" t="s">
        <v>961</v>
      </c>
      <c r="B244" s="10" t="s">
        <v>868</v>
      </c>
      <c r="C244" s="10" t="s">
        <v>882</v>
      </c>
      <c r="D244" s="10" t="s">
        <v>971</v>
      </c>
      <c r="E244" s="11" t="s">
        <v>914</v>
      </c>
    </row>
    <row r="245" spans="1:5" x14ac:dyDescent="0.2">
      <c r="A245" s="10" t="s">
        <v>149</v>
      </c>
      <c r="B245" s="10" t="s">
        <v>874</v>
      </c>
      <c r="C245" s="10" t="s">
        <v>897</v>
      </c>
      <c r="D245" s="10" t="s">
        <v>972</v>
      </c>
      <c r="E245" s="11" t="s">
        <v>908</v>
      </c>
    </row>
    <row r="246" spans="1:5" x14ac:dyDescent="0.2">
      <c r="A246" s="10" t="s">
        <v>962</v>
      </c>
      <c r="B246" s="10" t="s">
        <v>874</v>
      </c>
      <c r="C246" s="10" t="s">
        <v>881</v>
      </c>
      <c r="D246" s="10" t="s">
        <v>971</v>
      </c>
      <c r="E246" s="11" t="s">
        <v>914</v>
      </c>
    </row>
    <row r="247" spans="1:5" x14ac:dyDescent="0.2">
      <c r="A247" s="10" t="s">
        <v>163</v>
      </c>
      <c r="B247" s="10" t="s">
        <v>878</v>
      </c>
      <c r="C247" s="10" t="s">
        <v>878</v>
      </c>
      <c r="D247" s="10" t="s">
        <v>970</v>
      </c>
      <c r="E247" s="11" t="s">
        <v>913</v>
      </c>
    </row>
    <row r="248" spans="1:5" x14ac:dyDescent="0.2">
      <c r="A248" s="10" t="s">
        <v>199</v>
      </c>
      <c r="B248" s="10" t="s">
        <v>868</v>
      </c>
      <c r="C248" s="10" t="s">
        <v>936</v>
      </c>
      <c r="D248" s="10" t="s">
        <v>968</v>
      </c>
      <c r="E248" s="11" t="s">
        <v>914</v>
      </c>
    </row>
    <row r="249" spans="1:5" x14ac:dyDescent="0.2">
      <c r="A249" s="10" t="s">
        <v>387</v>
      </c>
      <c r="B249" s="10" t="s">
        <v>875</v>
      </c>
      <c r="C249" s="10" t="s">
        <v>901</v>
      </c>
      <c r="D249" s="10" t="s">
        <v>968</v>
      </c>
      <c r="E249" s="11" t="s">
        <v>915</v>
      </c>
    </row>
    <row r="250" spans="1:5" x14ac:dyDescent="0.2">
      <c r="A250" s="10" t="s">
        <v>963</v>
      </c>
      <c r="B250" s="10" t="s">
        <v>872</v>
      </c>
      <c r="C250" s="10" t="s">
        <v>873</v>
      </c>
      <c r="D250" s="10" t="s">
        <v>971</v>
      </c>
      <c r="E250" s="11" t="s">
        <v>909</v>
      </c>
    </row>
    <row r="251" spans="1:5" x14ac:dyDescent="0.2">
      <c r="A251" s="10" t="s">
        <v>964</v>
      </c>
      <c r="B251" s="10" t="s">
        <v>878</v>
      </c>
      <c r="C251" s="10" t="s">
        <v>878</v>
      </c>
      <c r="D251" s="10" t="s">
        <v>970</v>
      </c>
      <c r="E251" s="11" t="s">
        <v>913</v>
      </c>
    </row>
    <row r="252" spans="1:5" x14ac:dyDescent="0.2">
      <c r="A252" s="10" t="s">
        <v>117</v>
      </c>
      <c r="B252" s="10" t="s">
        <v>868</v>
      </c>
      <c r="C252" s="10" t="s">
        <v>884</v>
      </c>
      <c r="D252" s="10" t="s">
        <v>968</v>
      </c>
      <c r="E252" s="11" t="s">
        <v>913</v>
      </c>
    </row>
    <row r="253" spans="1:5" x14ac:dyDescent="0.2">
      <c r="A253" s="10" t="s">
        <v>965</v>
      </c>
      <c r="B253" s="10" t="s">
        <v>874</v>
      </c>
      <c r="C253" s="10" t="s">
        <v>891</v>
      </c>
      <c r="D253" s="10" t="s">
        <v>969</v>
      </c>
      <c r="E253" s="11" t="s">
        <v>915</v>
      </c>
    </row>
    <row r="254" spans="1:5" x14ac:dyDescent="0.2">
      <c r="A254" s="10" t="s">
        <v>966</v>
      </c>
      <c r="B254" s="10" t="s">
        <v>875</v>
      </c>
      <c r="C254" s="10" t="s">
        <v>877</v>
      </c>
      <c r="D254" s="10" t="s">
        <v>968</v>
      </c>
      <c r="E254" s="11" t="s">
        <v>914</v>
      </c>
    </row>
    <row r="255" spans="1:5" x14ac:dyDescent="0.2">
      <c r="A255" s="10" t="s">
        <v>967</v>
      </c>
      <c r="B255" s="10" t="s">
        <v>866</v>
      </c>
      <c r="C255" s="10" t="s">
        <v>867</v>
      </c>
      <c r="D255" s="10" t="s">
        <v>969</v>
      </c>
      <c r="E255" s="11" t="s">
        <v>915</v>
      </c>
    </row>
    <row r="256" spans="1:5" x14ac:dyDescent="0.2">
      <c r="A256" s="10" t="s">
        <v>331</v>
      </c>
      <c r="B256" s="10" t="s">
        <v>868</v>
      </c>
      <c r="C256" s="10" t="s">
        <v>882</v>
      </c>
      <c r="D256" s="10" t="s">
        <v>968</v>
      </c>
      <c r="E256" s="11" t="s">
        <v>915</v>
      </c>
    </row>
    <row r="257" spans="1:5" x14ac:dyDescent="0.2">
      <c r="A257" s="10" t="s">
        <v>299</v>
      </c>
      <c r="B257" s="10" t="s">
        <v>866</v>
      </c>
      <c r="C257" s="10" t="s">
        <v>887</v>
      </c>
      <c r="D257" s="10" t="s">
        <v>968</v>
      </c>
      <c r="E257" s="11" t="s">
        <v>915</v>
      </c>
    </row>
    <row r="258" spans="1:5" x14ac:dyDescent="0.2">
      <c r="A258" s="10" t="s">
        <v>293</v>
      </c>
      <c r="B258" s="10" t="s">
        <v>866</v>
      </c>
      <c r="C258" s="10" t="s">
        <v>887</v>
      </c>
      <c r="D258" s="10" t="s">
        <v>969</v>
      </c>
      <c r="E258" s="11" t="s">
        <v>913</v>
      </c>
    </row>
    <row r="261" spans="1:5" x14ac:dyDescent="0.2">
      <c r="A261" s="11">
        <v>257</v>
      </c>
    </row>
  </sheetData>
  <autoFilter ref="A1:E258" xr:uid="{41C8E126-045B-864F-90D1-6F90E274EF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3FEF-805F-AB40-B557-65647F28A38C}">
  <dimension ref="A1:BP267"/>
  <sheetViews>
    <sheetView workbookViewId="0">
      <selection activeCell="F9" sqref="F9"/>
    </sheetView>
  </sheetViews>
  <sheetFormatPr baseColWidth="10" defaultRowHeight="16" x14ac:dyDescent="0.2"/>
  <cols>
    <col min="1" max="1" width="27" style="12" customWidth="1"/>
    <col min="2" max="16384" width="10.83203125" style="12"/>
  </cols>
  <sheetData>
    <row r="1" spans="1:68" x14ac:dyDescent="0.2">
      <c r="A1" s="12" t="s">
        <v>973</v>
      </c>
      <c r="B1" s="12" t="s">
        <v>974</v>
      </c>
      <c r="C1" s="12" t="s">
        <v>975</v>
      </c>
      <c r="D1" s="12" t="s">
        <v>976</v>
      </c>
      <c r="E1" s="12">
        <v>1960</v>
      </c>
      <c r="F1" s="12">
        <v>1961</v>
      </c>
      <c r="G1" s="12">
        <v>1962</v>
      </c>
      <c r="H1" s="12">
        <v>1963</v>
      </c>
      <c r="I1" s="12">
        <v>1964</v>
      </c>
      <c r="J1" s="12">
        <v>1965</v>
      </c>
      <c r="K1" s="12">
        <v>1966</v>
      </c>
      <c r="L1" s="12">
        <v>1967</v>
      </c>
      <c r="M1" s="12">
        <v>1968</v>
      </c>
      <c r="N1" s="12">
        <v>1969</v>
      </c>
      <c r="O1" s="12">
        <v>1970</v>
      </c>
      <c r="P1" s="12">
        <v>1971</v>
      </c>
      <c r="Q1" s="12">
        <v>1972</v>
      </c>
      <c r="R1" s="12">
        <v>1973</v>
      </c>
      <c r="S1" s="12">
        <v>1974</v>
      </c>
      <c r="T1" s="12">
        <v>1975</v>
      </c>
      <c r="U1" s="12">
        <v>1976</v>
      </c>
      <c r="V1" s="12">
        <v>1977</v>
      </c>
      <c r="W1" s="12">
        <v>1978</v>
      </c>
      <c r="X1" s="12">
        <v>1979</v>
      </c>
      <c r="Y1" s="12">
        <v>1980</v>
      </c>
      <c r="Z1" s="12">
        <v>1981</v>
      </c>
      <c r="AA1" s="12">
        <v>1982</v>
      </c>
      <c r="AB1" s="12">
        <v>1983</v>
      </c>
      <c r="AC1" s="12">
        <v>1984</v>
      </c>
      <c r="AD1" s="12">
        <v>1985</v>
      </c>
      <c r="AE1" s="12">
        <v>1986</v>
      </c>
      <c r="AF1" s="12">
        <v>1987</v>
      </c>
      <c r="AG1" s="12">
        <v>1988</v>
      </c>
      <c r="AH1" s="12">
        <v>1989</v>
      </c>
      <c r="AI1" s="12">
        <v>1990</v>
      </c>
      <c r="AJ1" s="12">
        <v>1991</v>
      </c>
      <c r="AK1" s="12">
        <v>1992</v>
      </c>
      <c r="AL1" s="12">
        <v>1993</v>
      </c>
      <c r="AM1" s="12">
        <v>1994</v>
      </c>
      <c r="AN1" s="12">
        <v>1995</v>
      </c>
      <c r="AO1" s="12">
        <v>1996</v>
      </c>
      <c r="AP1" s="12">
        <v>1997</v>
      </c>
      <c r="AQ1" s="12">
        <v>1998</v>
      </c>
      <c r="AR1" s="12">
        <v>1999</v>
      </c>
      <c r="AS1" s="12">
        <v>2000</v>
      </c>
      <c r="AT1" s="12">
        <v>2001</v>
      </c>
      <c r="AU1" s="12">
        <v>2002</v>
      </c>
      <c r="AV1" s="12">
        <v>2003</v>
      </c>
      <c r="AW1" s="12">
        <v>2004</v>
      </c>
      <c r="AX1" s="12">
        <v>2005</v>
      </c>
      <c r="AY1" s="12">
        <v>2006</v>
      </c>
      <c r="AZ1" s="12">
        <v>2007</v>
      </c>
      <c r="BA1" s="12">
        <v>2008</v>
      </c>
      <c r="BB1" s="12">
        <v>2009</v>
      </c>
      <c r="BC1" s="12">
        <v>2010</v>
      </c>
      <c r="BD1" s="12">
        <v>2011</v>
      </c>
      <c r="BE1" s="12">
        <v>2012</v>
      </c>
      <c r="BF1" s="12">
        <v>2013</v>
      </c>
      <c r="BG1" s="12">
        <v>2014</v>
      </c>
      <c r="BH1" s="12">
        <v>2015</v>
      </c>
      <c r="BI1" s="12">
        <v>2016</v>
      </c>
      <c r="BJ1" s="12">
        <v>2017</v>
      </c>
      <c r="BK1" s="12">
        <v>2018</v>
      </c>
      <c r="BL1" s="12">
        <v>2019</v>
      </c>
      <c r="BM1" s="12">
        <v>2020</v>
      </c>
      <c r="BN1" s="12">
        <v>2021</v>
      </c>
      <c r="BO1" s="12">
        <v>2022</v>
      </c>
      <c r="BP1" s="12">
        <v>2023</v>
      </c>
    </row>
    <row r="2" spans="1:68" x14ac:dyDescent="0.2">
      <c r="A2" s="12" t="s">
        <v>883</v>
      </c>
      <c r="B2" s="12" t="s">
        <v>977</v>
      </c>
      <c r="C2" s="12" t="s">
        <v>978</v>
      </c>
      <c r="D2" s="12" t="s">
        <v>979</v>
      </c>
      <c r="AE2" s="12">
        <v>405586592.17877102</v>
      </c>
      <c r="AF2" s="12">
        <v>487709497.20670402</v>
      </c>
      <c r="AG2" s="12">
        <v>596648044.69273698</v>
      </c>
      <c r="AH2" s="12">
        <v>695530726.25698304</v>
      </c>
      <c r="AI2" s="12">
        <v>764804469.27374303</v>
      </c>
      <c r="AJ2" s="12">
        <v>872067039.10614502</v>
      </c>
      <c r="AK2" s="12">
        <v>958659217.87709498</v>
      </c>
      <c r="AL2" s="12">
        <v>1083240223.46369</v>
      </c>
      <c r="AM2" s="12">
        <v>1245810055.8659201</v>
      </c>
      <c r="AN2" s="12">
        <v>1320670391.06145</v>
      </c>
      <c r="AO2" s="12">
        <v>1379888268.15642</v>
      </c>
      <c r="AP2" s="12">
        <v>1531843575.4189899</v>
      </c>
      <c r="AQ2" s="12">
        <v>1665363128.4916201</v>
      </c>
      <c r="AR2" s="12">
        <v>1722905027.93296</v>
      </c>
      <c r="AS2" s="12">
        <v>1873452513.96648</v>
      </c>
      <c r="AT2" s="12">
        <v>1896456983.2402201</v>
      </c>
      <c r="AU2" s="12">
        <v>1961843575.4189899</v>
      </c>
      <c r="AV2" s="12">
        <v>2044111731.84358</v>
      </c>
      <c r="AW2" s="12">
        <v>2254830726.2569799</v>
      </c>
      <c r="AX2" s="12">
        <v>2360017318.43575</v>
      </c>
      <c r="AY2" s="12">
        <v>2469782681.56425</v>
      </c>
      <c r="AZ2" s="12">
        <v>2677641340.7821202</v>
      </c>
      <c r="BA2" s="12">
        <v>2843024581.00559</v>
      </c>
      <c r="BB2" s="12">
        <v>2553793296.0893898</v>
      </c>
      <c r="BC2" s="12">
        <v>2453597206.7039099</v>
      </c>
      <c r="BD2" s="12">
        <v>2637859217.87709</v>
      </c>
      <c r="BE2" s="12">
        <v>2615208379.8882699</v>
      </c>
      <c r="BF2" s="12">
        <v>2727849720.6703901</v>
      </c>
      <c r="BG2" s="12">
        <v>2790849720.6703901</v>
      </c>
      <c r="BH2" s="12">
        <v>2962907262.5698299</v>
      </c>
      <c r="BI2" s="12">
        <v>2983635195.5307298</v>
      </c>
      <c r="BJ2" s="12">
        <v>3092429050.2793298</v>
      </c>
      <c r="BK2" s="12">
        <v>3276184357.5419002</v>
      </c>
      <c r="BL2" s="12">
        <v>3395798882.68156</v>
      </c>
      <c r="BM2" s="12">
        <v>2558906303.88098</v>
      </c>
      <c r="BN2" s="12">
        <v>3103184101.5135398</v>
      </c>
      <c r="BO2" s="12">
        <v>3544707788.0566401</v>
      </c>
    </row>
    <row r="3" spans="1:68" x14ac:dyDescent="0.2">
      <c r="A3" s="12" t="s">
        <v>980</v>
      </c>
      <c r="B3" s="12" t="s">
        <v>981</v>
      </c>
      <c r="C3" s="12" t="s">
        <v>978</v>
      </c>
      <c r="D3" s="12" t="s">
        <v>979</v>
      </c>
      <c r="U3" s="12">
        <v>85062389705.686295</v>
      </c>
      <c r="V3" s="12">
        <v>94580364409.673203</v>
      </c>
      <c r="W3" s="12">
        <v>105638428409.89</v>
      </c>
      <c r="X3" s="12">
        <v>125674232672.79601</v>
      </c>
      <c r="Y3" s="12">
        <v>166498714766.88901</v>
      </c>
      <c r="Z3" s="12">
        <v>173698197940.94</v>
      </c>
      <c r="AA3" s="12">
        <v>164137396908.86401</v>
      </c>
      <c r="AB3" s="12">
        <v>175133555078.41901</v>
      </c>
      <c r="AC3" s="12">
        <v>162775275752.79501</v>
      </c>
      <c r="AD3" s="12">
        <v>135814811984.368</v>
      </c>
      <c r="AE3" s="12">
        <v>153390484188.94901</v>
      </c>
      <c r="AF3" s="12">
        <v>186621266271.16</v>
      </c>
      <c r="AG3" s="12">
        <v>205665163136.01901</v>
      </c>
      <c r="AH3" s="12">
        <v>218608488618.47101</v>
      </c>
      <c r="AI3" s="12">
        <v>254709710985.78699</v>
      </c>
      <c r="AJ3" s="12">
        <v>275661199882.41803</v>
      </c>
      <c r="AK3" s="12">
        <v>240244722741.314</v>
      </c>
      <c r="AL3" s="12">
        <v>238386938825.711</v>
      </c>
      <c r="AM3" s="12">
        <v>241192309586.53101</v>
      </c>
      <c r="AN3" s="12">
        <v>270852456563.177</v>
      </c>
      <c r="AO3" s="12">
        <v>269031138302.621</v>
      </c>
      <c r="AP3" s="12">
        <v>284105790703.82501</v>
      </c>
      <c r="AQ3" s="12">
        <v>267324683725.004</v>
      </c>
      <c r="AR3" s="12">
        <v>263711675511.04199</v>
      </c>
      <c r="AS3" s="12">
        <v>285444334460.28302</v>
      </c>
      <c r="AT3" s="12">
        <v>260255606088.70499</v>
      </c>
      <c r="AU3" s="12">
        <v>267180041538.39401</v>
      </c>
      <c r="AV3" s="12">
        <v>354957861044.46503</v>
      </c>
      <c r="AW3" s="12">
        <v>441422327909.38</v>
      </c>
      <c r="AX3" s="12">
        <v>515000281378.35699</v>
      </c>
      <c r="AY3" s="12">
        <v>578715537772.90601</v>
      </c>
      <c r="AZ3" s="12">
        <v>664193791807.55396</v>
      </c>
      <c r="BA3" s="12">
        <v>711901639869.78699</v>
      </c>
      <c r="BB3" s="12">
        <v>716880259519.98401</v>
      </c>
      <c r="BC3" s="12">
        <v>851883418283.70801</v>
      </c>
      <c r="BD3" s="12">
        <v>948278838817.61902</v>
      </c>
      <c r="BE3" s="12">
        <v>954417031995.25305</v>
      </c>
      <c r="BF3" s="12">
        <v>963339809123.23596</v>
      </c>
      <c r="BG3" s="12">
        <v>979690460650.61206</v>
      </c>
      <c r="BH3" s="12">
        <v>899255563488.78198</v>
      </c>
      <c r="BI3" s="12">
        <v>829738293632.42395</v>
      </c>
      <c r="BJ3" s="12">
        <v>939959327939.34595</v>
      </c>
      <c r="BK3" s="12">
        <v>1012521425296.35</v>
      </c>
      <c r="BL3" s="12">
        <v>1006191000190.48</v>
      </c>
      <c r="BM3" s="12">
        <v>928880235176.59399</v>
      </c>
      <c r="BN3" s="12">
        <v>1086530704900.5</v>
      </c>
      <c r="BO3" s="12">
        <v>1185137703650.99</v>
      </c>
    </row>
    <row r="4" spans="1:68" x14ac:dyDescent="0.2">
      <c r="A4" s="12" t="s">
        <v>323</v>
      </c>
      <c r="B4" s="12" t="s">
        <v>322</v>
      </c>
      <c r="C4" s="12" t="s">
        <v>978</v>
      </c>
      <c r="D4" s="12" t="s">
        <v>979</v>
      </c>
      <c r="E4" s="12">
        <v>537777811.11111104</v>
      </c>
      <c r="F4" s="12">
        <v>548888895.55555606</v>
      </c>
      <c r="G4" s="12">
        <v>546666677.77777803</v>
      </c>
      <c r="H4" s="12">
        <v>751111191.11111104</v>
      </c>
      <c r="I4" s="12">
        <v>800000044.44444394</v>
      </c>
      <c r="J4" s="12">
        <v>1006666637.7777801</v>
      </c>
      <c r="K4" s="12">
        <v>1399999966.6666701</v>
      </c>
      <c r="L4" s="12">
        <v>1673333417.7777801</v>
      </c>
      <c r="M4" s="12">
        <v>1373333366.6666701</v>
      </c>
      <c r="N4" s="12">
        <v>1408888922.2222199</v>
      </c>
      <c r="O4" s="12">
        <v>1748886595.5555601</v>
      </c>
      <c r="P4" s="12">
        <v>1831108971.11111</v>
      </c>
      <c r="Q4" s="12">
        <v>1595555475.5555601</v>
      </c>
      <c r="R4" s="12">
        <v>1733333264.4444399</v>
      </c>
      <c r="S4" s="12">
        <v>2155555497.7777801</v>
      </c>
      <c r="T4" s="12">
        <v>2366666615.5555601</v>
      </c>
      <c r="U4" s="12">
        <v>2555555566.6666698</v>
      </c>
      <c r="V4" s="12">
        <v>2953333417.7777801</v>
      </c>
      <c r="W4" s="12">
        <v>3300000108.8888898</v>
      </c>
      <c r="X4" s="12">
        <v>3697940409.61098</v>
      </c>
      <c r="Y4" s="12">
        <v>3641723321.99546</v>
      </c>
      <c r="Z4" s="12">
        <v>3478787909.09091</v>
      </c>
      <c r="AU4" s="12">
        <v>3825701405.5195799</v>
      </c>
      <c r="AV4" s="12">
        <v>4520946849.3207903</v>
      </c>
      <c r="AW4" s="12">
        <v>5224896718.6778202</v>
      </c>
      <c r="AX4" s="12">
        <v>6203256497.0904398</v>
      </c>
      <c r="AY4" s="12">
        <v>6971758332.8891697</v>
      </c>
      <c r="AZ4" s="12">
        <v>9747886104.5325108</v>
      </c>
      <c r="BA4" s="12">
        <v>10109296957.6569</v>
      </c>
      <c r="BB4" s="12">
        <v>12416152648.057301</v>
      </c>
      <c r="BC4" s="12">
        <v>15856668496.388</v>
      </c>
      <c r="BD4" s="12">
        <v>17805098367.2952</v>
      </c>
      <c r="BE4" s="12">
        <v>19907329905.9776</v>
      </c>
      <c r="BF4" s="12">
        <v>20146416876.388599</v>
      </c>
      <c r="BG4" s="12">
        <v>20497128600.3363</v>
      </c>
      <c r="BH4" s="12">
        <v>19134221744.5294</v>
      </c>
      <c r="BI4" s="12">
        <v>18116572399.129799</v>
      </c>
      <c r="BJ4" s="12">
        <v>18753456506.570801</v>
      </c>
      <c r="BK4" s="12">
        <v>18053222734.8881</v>
      </c>
      <c r="BL4" s="12">
        <v>18799444414.5998</v>
      </c>
      <c r="BM4" s="12">
        <v>19955929060.841</v>
      </c>
      <c r="BN4" s="12">
        <v>14266499429.874599</v>
      </c>
    </row>
    <row r="5" spans="1:68" x14ac:dyDescent="0.2">
      <c r="A5" s="12" t="s">
        <v>982</v>
      </c>
      <c r="B5" s="12" t="s">
        <v>983</v>
      </c>
      <c r="C5" s="12" t="s">
        <v>978</v>
      </c>
      <c r="D5" s="12" t="s">
        <v>979</v>
      </c>
      <c r="E5" s="12">
        <v>10411646287.305799</v>
      </c>
      <c r="F5" s="12">
        <v>11135924727.940901</v>
      </c>
      <c r="G5" s="12">
        <v>11951712282.042801</v>
      </c>
      <c r="H5" s="12">
        <v>12685805889.8937</v>
      </c>
      <c r="I5" s="12">
        <v>13848998668.618401</v>
      </c>
      <c r="J5" s="12">
        <v>14874755833.5382</v>
      </c>
      <c r="K5" s="12">
        <v>15845575303.222401</v>
      </c>
      <c r="L5" s="12">
        <v>14428492961.8549</v>
      </c>
      <c r="M5" s="12">
        <v>14880501861.118099</v>
      </c>
      <c r="N5" s="12">
        <v>16882284662.3657</v>
      </c>
      <c r="O5" s="12">
        <v>23504960311.923401</v>
      </c>
      <c r="P5" s="12">
        <v>20843326170.630199</v>
      </c>
      <c r="Q5" s="12">
        <v>25269456358.528801</v>
      </c>
      <c r="R5" s="12">
        <v>31841146881.857498</v>
      </c>
      <c r="S5" s="12">
        <v>44215328355.868797</v>
      </c>
      <c r="T5" s="12">
        <v>51445309626.479897</v>
      </c>
      <c r="U5" s="12">
        <v>62129985410.066399</v>
      </c>
      <c r="V5" s="12">
        <v>65316034540.712097</v>
      </c>
      <c r="W5" s="12">
        <v>71200526845.374695</v>
      </c>
      <c r="X5" s="12">
        <v>88629333635.715698</v>
      </c>
      <c r="Y5" s="12">
        <v>112032331232.328</v>
      </c>
      <c r="Z5" s="12">
        <v>211005911802.91699</v>
      </c>
      <c r="AA5" s="12">
        <v>187165406370.026</v>
      </c>
      <c r="AB5" s="12">
        <v>138116898441.30499</v>
      </c>
      <c r="AC5" s="12">
        <v>114263904328.18201</v>
      </c>
      <c r="AD5" s="12">
        <v>116508527443.662</v>
      </c>
      <c r="AE5" s="12">
        <v>107507001440.375</v>
      </c>
      <c r="AF5" s="12">
        <v>110281682790.49899</v>
      </c>
      <c r="AG5" s="12">
        <v>108944735237.174</v>
      </c>
      <c r="AH5" s="12">
        <v>101770140749.657</v>
      </c>
      <c r="AI5" s="12">
        <v>121803568895.987</v>
      </c>
      <c r="AJ5" s="12">
        <v>127939039832.689</v>
      </c>
      <c r="AK5" s="12">
        <v>122575953686.48599</v>
      </c>
      <c r="AL5" s="12">
        <v>127980941949.696</v>
      </c>
      <c r="AM5" s="12">
        <v>133143476720.13699</v>
      </c>
      <c r="AN5" s="12">
        <v>205687093879.591</v>
      </c>
      <c r="AO5" s="12">
        <v>261262106172.31201</v>
      </c>
      <c r="AP5" s="12">
        <v>274376968923.496</v>
      </c>
      <c r="AQ5" s="12">
        <v>294949797405.74103</v>
      </c>
      <c r="AR5" s="12">
        <v>137292485423.69299</v>
      </c>
      <c r="AS5" s="12">
        <v>140132777859.08099</v>
      </c>
      <c r="AT5" s="12">
        <v>147524718751.24899</v>
      </c>
      <c r="AU5" s="12">
        <v>176588559103.84299</v>
      </c>
      <c r="AV5" s="12">
        <v>204455023741.48901</v>
      </c>
      <c r="AW5" s="12">
        <v>253453654650.33899</v>
      </c>
      <c r="AX5" s="12">
        <v>310070743908.92603</v>
      </c>
      <c r="AY5" s="12">
        <v>396077046021.05499</v>
      </c>
      <c r="AZ5" s="12">
        <v>465627259599.12598</v>
      </c>
      <c r="BA5" s="12">
        <v>567853448132.047</v>
      </c>
      <c r="BB5" s="12">
        <v>508492534468.29401</v>
      </c>
      <c r="BC5" s="12">
        <v>598607469639.526</v>
      </c>
      <c r="BD5" s="12">
        <v>682176065823.11499</v>
      </c>
      <c r="BE5" s="12">
        <v>737739503299.73499</v>
      </c>
      <c r="BF5" s="12">
        <v>834097010134.99097</v>
      </c>
      <c r="BG5" s="12">
        <v>894505003403.49097</v>
      </c>
      <c r="BH5" s="12">
        <v>769263195356.94897</v>
      </c>
      <c r="BI5" s="12">
        <v>692114931613.25403</v>
      </c>
      <c r="BJ5" s="12">
        <v>685630289666.51501</v>
      </c>
      <c r="BK5" s="12">
        <v>768158194632.39697</v>
      </c>
      <c r="BL5" s="12">
        <v>823405580187.91296</v>
      </c>
      <c r="BM5" s="12">
        <v>786962436538.39099</v>
      </c>
      <c r="BN5" s="12">
        <v>844927536437.83301</v>
      </c>
      <c r="BO5" s="12">
        <v>875393693658.08398</v>
      </c>
    </row>
    <row r="6" spans="1:68" x14ac:dyDescent="0.2">
      <c r="A6" s="12" t="s">
        <v>317</v>
      </c>
      <c r="B6" s="12" t="s">
        <v>316</v>
      </c>
      <c r="C6" s="12" t="s">
        <v>978</v>
      </c>
      <c r="D6" s="12" t="s">
        <v>979</v>
      </c>
      <c r="Y6" s="12">
        <v>5934073603.6789303</v>
      </c>
      <c r="Z6" s="12">
        <v>5553824463.8795996</v>
      </c>
      <c r="AA6" s="12">
        <v>5553824463.8795996</v>
      </c>
      <c r="AB6" s="12">
        <v>5787823808.6956501</v>
      </c>
      <c r="AC6" s="12">
        <v>6135166254.1806002</v>
      </c>
      <c r="AD6" s="12">
        <v>7558613008.0267496</v>
      </c>
      <c r="AE6" s="12">
        <v>7076793822.7424698</v>
      </c>
      <c r="AF6" s="12">
        <v>8089279284.6153803</v>
      </c>
      <c r="AG6" s="12">
        <v>8775116269.2307701</v>
      </c>
      <c r="AH6" s="12">
        <v>10207922517.0569</v>
      </c>
      <c r="AI6" s="12">
        <v>11236275842.809401</v>
      </c>
      <c r="AJ6" s="12">
        <v>10401188707.2808</v>
      </c>
      <c r="AK6" s="12">
        <v>8307826847.3983402</v>
      </c>
      <c r="AL6" s="12">
        <v>6084688935.8003197</v>
      </c>
      <c r="AM6" s="12">
        <v>4438321017.3906803</v>
      </c>
      <c r="AN6" s="12">
        <v>5538749259.9471397</v>
      </c>
      <c r="AO6" s="12">
        <v>6535434716.0022402</v>
      </c>
      <c r="AP6" s="12">
        <v>7675412600.6651297</v>
      </c>
      <c r="AQ6" s="12">
        <v>6506381416.5323601</v>
      </c>
      <c r="AR6" s="12">
        <v>6152922942.2453899</v>
      </c>
      <c r="AS6" s="12">
        <v>9129594815.5766106</v>
      </c>
      <c r="AT6" s="12">
        <v>8936079251.4209309</v>
      </c>
      <c r="AU6" s="12">
        <v>15285592486.253201</v>
      </c>
      <c r="AV6" s="12">
        <v>17812704627.028198</v>
      </c>
      <c r="AW6" s="12">
        <v>23552057820.4599</v>
      </c>
      <c r="AX6" s="12">
        <v>36970901023.789299</v>
      </c>
      <c r="AY6" s="12">
        <v>52381025102.320999</v>
      </c>
      <c r="AZ6" s="12">
        <v>65266415706.974098</v>
      </c>
      <c r="BA6" s="12">
        <v>88538664884.264999</v>
      </c>
      <c r="BB6" s="12">
        <v>70307196474.127197</v>
      </c>
      <c r="BC6" s="12">
        <v>83799473759.720093</v>
      </c>
      <c r="BD6" s="12">
        <v>111789747670.59</v>
      </c>
      <c r="BE6" s="12">
        <v>128052915202.989</v>
      </c>
      <c r="BF6" s="12">
        <v>132339108708.408</v>
      </c>
      <c r="BG6" s="12">
        <v>135966802156.54201</v>
      </c>
      <c r="BH6" s="12">
        <v>90496420626.179001</v>
      </c>
      <c r="BI6" s="12">
        <v>52761617225.925301</v>
      </c>
      <c r="BJ6" s="12">
        <v>73690155046.554993</v>
      </c>
      <c r="BK6" s="12">
        <v>79450688232.001099</v>
      </c>
      <c r="BL6" s="12">
        <v>70897962712.621307</v>
      </c>
      <c r="BM6" s="12">
        <v>48501561230.000999</v>
      </c>
      <c r="BN6" s="12">
        <v>66505129989.242996</v>
      </c>
      <c r="BO6" s="12">
        <v>106782770714.619</v>
      </c>
    </row>
    <row r="7" spans="1:68" x14ac:dyDescent="0.2">
      <c r="A7" s="12" t="s">
        <v>125</v>
      </c>
      <c r="B7" s="12" t="s">
        <v>124</v>
      </c>
      <c r="C7" s="12" t="s">
        <v>978</v>
      </c>
      <c r="D7" s="12" t="s">
        <v>979</v>
      </c>
      <c r="AC7" s="12">
        <v>1857337995.3380001</v>
      </c>
      <c r="AD7" s="12">
        <v>1897050116.5501201</v>
      </c>
      <c r="AE7" s="12">
        <v>2097326250</v>
      </c>
      <c r="AF7" s="12">
        <v>2080796250</v>
      </c>
      <c r="AG7" s="12">
        <v>2051236250</v>
      </c>
      <c r="AH7" s="12">
        <v>2253090000</v>
      </c>
      <c r="AI7" s="12">
        <v>2028553750</v>
      </c>
      <c r="AJ7" s="12">
        <v>1099559027.7777801</v>
      </c>
      <c r="AK7" s="12">
        <v>652174990.837304</v>
      </c>
      <c r="AL7" s="12">
        <v>1185315468.46295</v>
      </c>
      <c r="AM7" s="12">
        <v>1880950864.41311</v>
      </c>
      <c r="AN7" s="12">
        <v>2392764853.4210701</v>
      </c>
      <c r="AO7" s="12">
        <v>3199640815.4162998</v>
      </c>
      <c r="AP7" s="12">
        <v>2258513974.0967999</v>
      </c>
      <c r="AQ7" s="12">
        <v>2545964540.8838301</v>
      </c>
      <c r="AR7" s="12">
        <v>3212121650.97755</v>
      </c>
      <c r="AS7" s="12">
        <v>3480355258.0412202</v>
      </c>
      <c r="AT7" s="12">
        <v>3922100793.5402999</v>
      </c>
      <c r="AU7" s="12">
        <v>4348068242.1951199</v>
      </c>
      <c r="AV7" s="12">
        <v>5611496257.1423101</v>
      </c>
      <c r="AW7" s="12">
        <v>7184685781.5187597</v>
      </c>
      <c r="AX7" s="12">
        <v>8052077248.1463804</v>
      </c>
      <c r="AY7" s="12">
        <v>8896075004.6351604</v>
      </c>
      <c r="AZ7" s="12">
        <v>10677324852.8822</v>
      </c>
      <c r="BA7" s="12">
        <v>12881352893.685499</v>
      </c>
      <c r="BB7" s="12">
        <v>12044205549.657101</v>
      </c>
      <c r="BC7" s="12">
        <v>11926926615.8015</v>
      </c>
      <c r="BD7" s="12">
        <v>12890760315.146</v>
      </c>
      <c r="BE7" s="12">
        <v>12319834195.330999</v>
      </c>
      <c r="BF7" s="12">
        <v>12776224496.9718</v>
      </c>
      <c r="BG7" s="12">
        <v>13228147516.1168</v>
      </c>
      <c r="BH7" s="12">
        <v>11386853113.0189</v>
      </c>
      <c r="BI7" s="12">
        <v>11861199830.8396</v>
      </c>
      <c r="BJ7" s="12">
        <v>13019726211.7369</v>
      </c>
      <c r="BK7" s="12">
        <v>15156424015.197701</v>
      </c>
      <c r="BL7" s="12">
        <v>15401826127.253901</v>
      </c>
      <c r="BM7" s="12">
        <v>15162734205.246201</v>
      </c>
      <c r="BN7" s="12">
        <v>17930565118.8176</v>
      </c>
      <c r="BO7" s="12">
        <v>18916378860.548801</v>
      </c>
    </row>
    <row r="8" spans="1:68" x14ac:dyDescent="0.2">
      <c r="A8" s="12" t="s">
        <v>339</v>
      </c>
      <c r="B8" s="12" t="s">
        <v>338</v>
      </c>
      <c r="C8" s="12" t="s">
        <v>978</v>
      </c>
      <c r="D8" s="12" t="s">
        <v>979</v>
      </c>
      <c r="O8" s="12">
        <v>78617711.096532494</v>
      </c>
      <c r="P8" s="12">
        <v>89406608.145815104</v>
      </c>
      <c r="Q8" s="12">
        <v>113414397.36563499</v>
      </c>
      <c r="R8" s="12">
        <v>150841639.29744399</v>
      </c>
      <c r="S8" s="12">
        <v>186557081.998137</v>
      </c>
      <c r="T8" s="12">
        <v>220112572.205331</v>
      </c>
      <c r="U8" s="12">
        <v>227283850.83127099</v>
      </c>
      <c r="V8" s="12">
        <v>253997897.22696799</v>
      </c>
      <c r="W8" s="12">
        <v>308020261.16414899</v>
      </c>
      <c r="X8" s="12">
        <v>411548748.354729</v>
      </c>
      <c r="Y8" s="12">
        <v>446377776.79800099</v>
      </c>
      <c r="Z8" s="12">
        <v>388983266.19988602</v>
      </c>
      <c r="AA8" s="12">
        <v>375914743.58100599</v>
      </c>
      <c r="AB8" s="12">
        <v>327850042.515872</v>
      </c>
      <c r="AC8" s="12">
        <v>330073080.63709801</v>
      </c>
      <c r="AD8" s="12">
        <v>346742714.675152</v>
      </c>
      <c r="AE8" s="12">
        <v>481996012.86907101</v>
      </c>
      <c r="AF8" s="12">
        <v>611299924.54050601</v>
      </c>
      <c r="AG8" s="12">
        <v>721425939.15155005</v>
      </c>
      <c r="AH8" s="12">
        <v>795489582.04490995</v>
      </c>
      <c r="AI8" s="12">
        <v>1028989692.06787</v>
      </c>
      <c r="AJ8" s="12">
        <v>1106891361.53948</v>
      </c>
      <c r="AK8" s="12">
        <v>1209992020.2954299</v>
      </c>
      <c r="AL8" s="12">
        <v>1007090269.86956</v>
      </c>
      <c r="AM8" s="12">
        <v>1017544068.8408</v>
      </c>
      <c r="AN8" s="12">
        <v>1178745282.8678</v>
      </c>
      <c r="AO8" s="12">
        <v>1224024139.21295</v>
      </c>
      <c r="AP8" s="12">
        <v>1180645571.8643</v>
      </c>
      <c r="AQ8" s="12">
        <v>1211953994.0571401</v>
      </c>
      <c r="AR8" s="12">
        <v>1239840639.57248</v>
      </c>
      <c r="AS8" s="12">
        <v>1429047881.8427501</v>
      </c>
      <c r="AT8" s="12">
        <v>1546912331.8807001</v>
      </c>
      <c r="AU8" s="12">
        <v>1755989353.9328001</v>
      </c>
      <c r="AV8" s="12">
        <v>2361636235.1783299</v>
      </c>
      <c r="AW8" s="12">
        <v>2895047587.1188798</v>
      </c>
      <c r="AX8" s="12">
        <v>3159826891.5087299</v>
      </c>
      <c r="AY8" s="12">
        <v>3456264324.6301498</v>
      </c>
      <c r="AZ8" s="12">
        <v>3952395030.0969801</v>
      </c>
      <c r="BA8" s="12">
        <v>4085780202.8783798</v>
      </c>
      <c r="BB8" s="12">
        <v>3674190066.4450402</v>
      </c>
      <c r="BC8" s="12">
        <v>3449925693.58181</v>
      </c>
      <c r="BD8" s="12">
        <v>3629133062.5516801</v>
      </c>
      <c r="BE8" s="12">
        <v>3188653258.6100101</v>
      </c>
      <c r="BF8" s="12">
        <v>3193513470.4394102</v>
      </c>
      <c r="BG8" s="12">
        <v>3271686452.47686</v>
      </c>
      <c r="BH8" s="12">
        <v>2789882569.1005001</v>
      </c>
      <c r="BI8" s="12">
        <v>2896611878.6258001</v>
      </c>
      <c r="BJ8" s="12">
        <v>3000160414.6379499</v>
      </c>
      <c r="BK8" s="12">
        <v>3218418631.6757898</v>
      </c>
      <c r="BL8" s="12">
        <v>3155150255.9119501</v>
      </c>
      <c r="BM8" s="12">
        <v>2891002460.2915301</v>
      </c>
      <c r="BN8" s="12">
        <v>3325143693.2871399</v>
      </c>
      <c r="BO8" s="12">
        <v>3352031094.2291398</v>
      </c>
    </row>
    <row r="9" spans="1:68" x14ac:dyDescent="0.2">
      <c r="A9" s="12" t="s">
        <v>984</v>
      </c>
      <c r="B9" s="12" t="s">
        <v>985</v>
      </c>
      <c r="C9" s="12" t="s">
        <v>978</v>
      </c>
      <c r="D9" s="12" t="s">
        <v>979</v>
      </c>
      <c r="M9" s="12">
        <v>35103499571.725304</v>
      </c>
      <c r="N9" s="12">
        <v>38250554132.426598</v>
      </c>
      <c r="O9" s="12">
        <v>43246684072.590599</v>
      </c>
      <c r="P9" s="12">
        <v>49981023863.951797</v>
      </c>
      <c r="Q9" s="12">
        <v>59594466405.960403</v>
      </c>
      <c r="R9" s="12">
        <v>75616081942.362198</v>
      </c>
      <c r="S9" s="12">
        <v>143724627345.905</v>
      </c>
      <c r="T9" s="12">
        <v>158823244910.06799</v>
      </c>
      <c r="U9" s="12">
        <v>197697097978.97699</v>
      </c>
      <c r="V9" s="12">
        <v>228197099105.68399</v>
      </c>
      <c r="W9" s="12">
        <v>252401455456.724</v>
      </c>
      <c r="X9" s="12">
        <v>341732844373.36902</v>
      </c>
      <c r="Y9" s="12">
        <v>464930409907.34601</v>
      </c>
      <c r="Z9" s="12">
        <v>480102332056.17603</v>
      </c>
      <c r="AA9" s="12">
        <v>449534866323.83502</v>
      </c>
      <c r="AB9" s="12">
        <v>423126949902.02802</v>
      </c>
      <c r="AC9" s="12">
        <v>430647243512.151</v>
      </c>
      <c r="AD9" s="12">
        <v>424161863297.70801</v>
      </c>
      <c r="AE9" s="12">
        <v>411519609590.58398</v>
      </c>
      <c r="AF9" s="12">
        <v>445519427509.98199</v>
      </c>
      <c r="AG9" s="12">
        <v>429632855560.70001</v>
      </c>
      <c r="AH9" s="12">
        <v>460904098211.96002</v>
      </c>
      <c r="AI9" s="12">
        <v>651242412648.51001</v>
      </c>
      <c r="AJ9" s="12">
        <v>480693920308.69397</v>
      </c>
      <c r="AK9" s="12">
        <v>485489041802.57202</v>
      </c>
      <c r="AL9" s="12">
        <v>499353006881.87097</v>
      </c>
      <c r="AM9" s="12">
        <v>531898189570.94897</v>
      </c>
      <c r="AN9" s="12">
        <v>564855540252.72998</v>
      </c>
      <c r="AO9" s="12">
        <v>615178571770.37903</v>
      </c>
      <c r="AP9" s="12">
        <v>662610359682.23804</v>
      </c>
      <c r="AQ9" s="12">
        <v>649485600536.21997</v>
      </c>
      <c r="AR9" s="12">
        <v>717795399234.41699</v>
      </c>
      <c r="AS9" s="12">
        <v>820587196638.06494</v>
      </c>
      <c r="AT9" s="12">
        <v>803239271692.34802</v>
      </c>
      <c r="AU9" s="12">
        <v>808329508145.81299</v>
      </c>
      <c r="AV9" s="12">
        <v>894225865371.65295</v>
      </c>
      <c r="AW9" s="12">
        <v>1063217289199.74</v>
      </c>
      <c r="AX9" s="12">
        <v>1304982578353.3401</v>
      </c>
      <c r="AY9" s="12">
        <v>1546246464615.6399</v>
      </c>
      <c r="AZ9" s="12">
        <v>1798753549968.2</v>
      </c>
      <c r="BA9" s="12">
        <v>2264062963598.4302</v>
      </c>
      <c r="BB9" s="12">
        <v>1981253253376.26</v>
      </c>
      <c r="BC9" s="12">
        <v>2330907922469.3101</v>
      </c>
      <c r="BD9" s="12">
        <v>2543902214342.0698</v>
      </c>
      <c r="BE9" s="12">
        <v>2777361239407.1802</v>
      </c>
      <c r="BF9" s="12">
        <v>2837925424168.98</v>
      </c>
      <c r="BG9" s="12">
        <v>2879943156240.8901</v>
      </c>
      <c r="BH9" s="12">
        <v>2522548181288.0098</v>
      </c>
      <c r="BI9" s="12">
        <v>2479080490983.1699</v>
      </c>
      <c r="BJ9" s="12">
        <v>2551319849778.0298</v>
      </c>
      <c r="BK9" s="12">
        <v>2845898419157.25</v>
      </c>
      <c r="BL9" s="12">
        <v>2871654771820.8599</v>
      </c>
      <c r="BM9" s="12">
        <v>2535508549316.27</v>
      </c>
      <c r="BN9" s="12">
        <v>2930480380710.7202</v>
      </c>
      <c r="BO9" s="12">
        <v>3543339785308.8599</v>
      </c>
    </row>
    <row r="10" spans="1:68" x14ac:dyDescent="0.2">
      <c r="A10" s="12" t="s">
        <v>205</v>
      </c>
      <c r="B10" s="12" t="s">
        <v>204</v>
      </c>
      <c r="C10" s="12" t="s">
        <v>978</v>
      </c>
      <c r="D10" s="12" t="s">
        <v>979</v>
      </c>
      <c r="T10" s="12">
        <v>14720728248.5355</v>
      </c>
      <c r="U10" s="12">
        <v>19213158778.792801</v>
      </c>
      <c r="V10" s="12">
        <v>24871775164.604301</v>
      </c>
      <c r="W10" s="12">
        <v>23775764224.683201</v>
      </c>
      <c r="X10" s="12">
        <v>31225659620.995098</v>
      </c>
      <c r="Y10" s="12">
        <v>43599160050.332199</v>
      </c>
      <c r="Z10" s="12">
        <v>49333424135.113098</v>
      </c>
      <c r="AA10" s="12">
        <v>46622718605.284698</v>
      </c>
      <c r="AB10" s="12">
        <v>42803323345.137604</v>
      </c>
      <c r="AC10" s="12">
        <v>41807954235.903</v>
      </c>
      <c r="AD10" s="12">
        <v>40603650231.544502</v>
      </c>
      <c r="AE10" s="12">
        <v>33943612094.7971</v>
      </c>
      <c r="AF10" s="12">
        <v>36384908744.211403</v>
      </c>
      <c r="AG10" s="12">
        <v>36275674203.214401</v>
      </c>
      <c r="AH10" s="12">
        <v>41464995913.919899</v>
      </c>
      <c r="AI10" s="12">
        <v>50701443748.297501</v>
      </c>
      <c r="AJ10" s="12">
        <v>51552165622.446198</v>
      </c>
      <c r="AK10" s="12">
        <v>54239171887.768997</v>
      </c>
      <c r="AL10" s="12">
        <v>55625170253.336998</v>
      </c>
      <c r="AM10" s="12">
        <v>59305093979.842003</v>
      </c>
      <c r="AN10" s="12">
        <v>65743666575.864899</v>
      </c>
      <c r="AO10" s="12">
        <v>73571233996.186295</v>
      </c>
      <c r="AP10" s="12">
        <v>78839008444.565506</v>
      </c>
      <c r="AQ10" s="12">
        <v>75674336283.185806</v>
      </c>
      <c r="AR10" s="12">
        <v>84445473110.959793</v>
      </c>
      <c r="AS10" s="12">
        <v>104337372362.151</v>
      </c>
      <c r="AT10" s="12">
        <v>103311640571.81799</v>
      </c>
      <c r="AU10" s="12">
        <v>109816201497.617</v>
      </c>
      <c r="AV10" s="12">
        <v>124346358066.71201</v>
      </c>
      <c r="AW10" s="12">
        <v>147824370319.94601</v>
      </c>
      <c r="AX10" s="12">
        <v>180617467964.60199</v>
      </c>
      <c r="AY10" s="12">
        <v>222116541865.21399</v>
      </c>
      <c r="AZ10" s="12">
        <v>257916133424.09799</v>
      </c>
      <c r="BA10" s="12">
        <v>315474615738.59802</v>
      </c>
      <c r="BB10" s="12">
        <v>253547358747.44699</v>
      </c>
      <c r="BC10" s="12">
        <v>300189052694.02899</v>
      </c>
      <c r="BD10" s="12">
        <v>360832739558.38501</v>
      </c>
      <c r="BE10" s="12">
        <v>384610125384.03302</v>
      </c>
      <c r="BF10" s="12">
        <v>400218529747.59698</v>
      </c>
      <c r="BG10" s="12">
        <v>414105366758.91101</v>
      </c>
      <c r="BH10" s="12">
        <v>370275469560.16602</v>
      </c>
      <c r="BI10" s="12">
        <v>369255326235.771</v>
      </c>
      <c r="BJ10" s="12">
        <v>390516804016.50098</v>
      </c>
      <c r="BK10" s="12">
        <v>427049432149.34497</v>
      </c>
      <c r="BL10" s="12">
        <v>417989721734.49402</v>
      </c>
      <c r="BM10" s="12">
        <v>349473015336.93903</v>
      </c>
      <c r="BN10" s="12">
        <v>415178792769.88397</v>
      </c>
      <c r="BO10" s="12">
        <v>507063968273.31299</v>
      </c>
    </row>
    <row r="11" spans="1:68" x14ac:dyDescent="0.2">
      <c r="A11" s="12" t="s">
        <v>79</v>
      </c>
      <c r="B11" s="12" t="s">
        <v>78</v>
      </c>
      <c r="C11" s="12" t="s">
        <v>978</v>
      </c>
      <c r="D11" s="12" t="s">
        <v>979</v>
      </c>
      <c r="AB11" s="12">
        <v>109490000000</v>
      </c>
      <c r="AC11" s="12">
        <v>112988571428.571</v>
      </c>
      <c r="AD11" s="12">
        <v>88416666666.666702</v>
      </c>
      <c r="AE11" s="12">
        <v>106213829787.23399</v>
      </c>
      <c r="AF11" s="12">
        <v>109029439252.336</v>
      </c>
      <c r="AG11" s="12">
        <v>126928000000</v>
      </c>
      <c r="AH11" s="12">
        <v>76629657863.655701</v>
      </c>
      <c r="AI11" s="12">
        <v>141352654305.16299</v>
      </c>
      <c r="AJ11" s="12">
        <v>189719984268.48499</v>
      </c>
      <c r="AK11" s="12">
        <v>228778917308.17001</v>
      </c>
      <c r="AL11" s="12">
        <v>236741715015.01501</v>
      </c>
      <c r="AM11" s="12">
        <v>257440000000</v>
      </c>
      <c r="AN11" s="12">
        <v>258031750000</v>
      </c>
      <c r="AO11" s="12">
        <v>272149750000</v>
      </c>
      <c r="AP11" s="12">
        <v>292859000000</v>
      </c>
      <c r="AQ11" s="12">
        <v>298948250000</v>
      </c>
      <c r="AR11" s="12">
        <v>283523000000</v>
      </c>
      <c r="AS11" s="12">
        <v>284203750000</v>
      </c>
      <c r="AT11" s="12">
        <v>268696750000</v>
      </c>
      <c r="AU11" s="12">
        <v>97724004251.860199</v>
      </c>
      <c r="AV11" s="12">
        <v>127586973492.177</v>
      </c>
      <c r="AW11" s="12">
        <v>164657930452.78699</v>
      </c>
      <c r="AX11" s="12">
        <v>198737095012.28201</v>
      </c>
      <c r="AY11" s="12">
        <v>232557260817.30801</v>
      </c>
      <c r="AZ11" s="12">
        <v>287530508430.56799</v>
      </c>
      <c r="BA11" s="12">
        <v>361558037110.41901</v>
      </c>
      <c r="BB11" s="12">
        <v>332976484577.61902</v>
      </c>
      <c r="BC11" s="12">
        <v>423627422092.48999</v>
      </c>
      <c r="BD11" s="12">
        <v>530158122010.44202</v>
      </c>
      <c r="BE11" s="12">
        <v>545982375701.12799</v>
      </c>
      <c r="BF11" s="12">
        <v>552025140252.24597</v>
      </c>
      <c r="BG11" s="12">
        <v>526319673731.638</v>
      </c>
      <c r="BH11" s="12">
        <v>594749285413.21204</v>
      </c>
      <c r="BI11" s="12">
        <v>557532320662.95496</v>
      </c>
      <c r="BJ11" s="12">
        <v>643628393281.36401</v>
      </c>
      <c r="BK11" s="12">
        <v>524819892360.17603</v>
      </c>
      <c r="BL11" s="12">
        <v>447754683615.22498</v>
      </c>
      <c r="BM11" s="12">
        <v>385740508436.96503</v>
      </c>
      <c r="BN11" s="12">
        <v>487902572164.34802</v>
      </c>
      <c r="BO11" s="12">
        <v>631133384439.94397</v>
      </c>
    </row>
    <row r="12" spans="1:68" x14ac:dyDescent="0.2">
      <c r="A12" s="12" t="s">
        <v>181</v>
      </c>
      <c r="B12" s="12" t="s">
        <v>180</v>
      </c>
      <c r="C12" s="12" t="s">
        <v>978</v>
      </c>
      <c r="D12" s="12" t="s">
        <v>979</v>
      </c>
      <c r="AI12" s="12">
        <v>2256863448.7708602</v>
      </c>
      <c r="AJ12" s="12">
        <v>2069870129.8701301</v>
      </c>
      <c r="AK12" s="12">
        <v>1272835453.4263401</v>
      </c>
      <c r="AL12" s="12">
        <v>1201312829.2752399</v>
      </c>
      <c r="AM12" s="12">
        <v>1315158636.67553</v>
      </c>
      <c r="AN12" s="12">
        <v>1468317435.2014799</v>
      </c>
      <c r="AO12" s="12">
        <v>1596968946.2370801</v>
      </c>
      <c r="AP12" s="12">
        <v>1639492444.7615199</v>
      </c>
      <c r="AQ12" s="12">
        <v>1893726437.2646201</v>
      </c>
      <c r="AR12" s="12">
        <v>1845482173.0273199</v>
      </c>
      <c r="AS12" s="12">
        <v>1911563668.85006</v>
      </c>
      <c r="AT12" s="12">
        <v>2118467913.3787301</v>
      </c>
      <c r="AU12" s="12">
        <v>2376335048.3997598</v>
      </c>
      <c r="AV12" s="12">
        <v>2807061008.6908398</v>
      </c>
      <c r="AW12" s="12">
        <v>3576615240.4161601</v>
      </c>
      <c r="AX12" s="12">
        <v>4900469511.1019096</v>
      </c>
      <c r="AY12" s="12">
        <v>6384452066.5145998</v>
      </c>
      <c r="AZ12" s="12">
        <v>9206301269.7916393</v>
      </c>
      <c r="BA12" s="12">
        <v>11662040713.875299</v>
      </c>
      <c r="BB12" s="12">
        <v>8647937081.2562008</v>
      </c>
      <c r="BC12" s="12">
        <v>9260285755.6242409</v>
      </c>
      <c r="BD12" s="12">
        <v>10142111824.5835</v>
      </c>
      <c r="BE12" s="12">
        <v>10619320682.947399</v>
      </c>
      <c r="BF12" s="12">
        <v>11121464437.0415</v>
      </c>
      <c r="BG12" s="12">
        <v>11609513246.795799</v>
      </c>
      <c r="BH12" s="12">
        <v>10553337518.414</v>
      </c>
      <c r="BI12" s="12">
        <v>10546136235.5219</v>
      </c>
      <c r="BJ12" s="12">
        <v>11527458709.0158</v>
      </c>
      <c r="BK12" s="12">
        <v>12457940694.7395</v>
      </c>
      <c r="BL12" s="12">
        <v>13619290539.211599</v>
      </c>
      <c r="BM12" s="12">
        <v>12641698583.2152</v>
      </c>
      <c r="BN12" s="12">
        <v>13878908628.937799</v>
      </c>
      <c r="BO12" s="12">
        <v>19513474648.242901</v>
      </c>
    </row>
    <row r="13" spans="1:68" x14ac:dyDescent="0.2">
      <c r="A13" s="12" t="s">
        <v>876</v>
      </c>
      <c r="B13" s="12" t="s">
        <v>986</v>
      </c>
      <c r="C13" s="12" t="s">
        <v>978</v>
      </c>
      <c r="D13" s="12" t="s">
        <v>979</v>
      </c>
      <c r="AU13" s="12">
        <v>512000000</v>
      </c>
      <c r="AV13" s="12">
        <v>524000000</v>
      </c>
      <c r="AW13" s="12">
        <v>509000000</v>
      </c>
      <c r="AX13" s="12">
        <v>500000000</v>
      </c>
      <c r="AY13" s="12">
        <v>493000000</v>
      </c>
      <c r="AZ13" s="12">
        <v>518000000</v>
      </c>
      <c r="BA13" s="12">
        <v>560000000</v>
      </c>
      <c r="BB13" s="12">
        <v>675000000</v>
      </c>
      <c r="BC13" s="12">
        <v>573000000</v>
      </c>
      <c r="BD13" s="12">
        <v>570000000</v>
      </c>
      <c r="BE13" s="12">
        <v>640000000</v>
      </c>
      <c r="BF13" s="12">
        <v>638000000</v>
      </c>
      <c r="BG13" s="12">
        <v>643000000</v>
      </c>
      <c r="BH13" s="12">
        <v>673000000</v>
      </c>
      <c r="BI13" s="12">
        <v>671000000</v>
      </c>
      <c r="BJ13" s="12">
        <v>612000000</v>
      </c>
      <c r="BK13" s="12">
        <v>639000000</v>
      </c>
      <c r="BL13" s="12">
        <v>647000000</v>
      </c>
      <c r="BM13" s="12">
        <v>721000000</v>
      </c>
      <c r="BN13" s="12">
        <v>750000000</v>
      </c>
      <c r="BO13" s="12">
        <v>871000000</v>
      </c>
    </row>
    <row r="14" spans="1:68" x14ac:dyDescent="0.2">
      <c r="A14" s="12" t="s">
        <v>341</v>
      </c>
      <c r="B14" s="12" t="s">
        <v>340</v>
      </c>
      <c r="C14" s="12" t="s">
        <v>978</v>
      </c>
      <c r="D14" s="12" t="s">
        <v>979</v>
      </c>
      <c r="V14" s="12">
        <v>77496753.703703701</v>
      </c>
      <c r="W14" s="12">
        <v>87879341.481481507</v>
      </c>
      <c r="X14" s="12">
        <v>109079978.888889</v>
      </c>
      <c r="Y14" s="12">
        <v>131431026.666667</v>
      </c>
      <c r="Z14" s="12">
        <v>147841734.444444</v>
      </c>
      <c r="AA14" s="12">
        <v>164369278.88888901</v>
      </c>
      <c r="AB14" s="12">
        <v>182144092.96296301</v>
      </c>
      <c r="AC14" s="12">
        <v>208372846.296296</v>
      </c>
      <c r="AD14" s="12">
        <v>240923924.81481501</v>
      </c>
      <c r="AE14" s="12">
        <v>290440140.74074101</v>
      </c>
      <c r="AF14" s="12">
        <v>337174861.851852</v>
      </c>
      <c r="AG14" s="12">
        <v>398637727.77777803</v>
      </c>
      <c r="AH14" s="12">
        <v>438794788.51851898</v>
      </c>
      <c r="AI14" s="12">
        <v>459470370.37036997</v>
      </c>
      <c r="AJ14" s="12">
        <v>481707407.40740699</v>
      </c>
      <c r="AK14" s="12">
        <v>499281481.48148102</v>
      </c>
      <c r="AL14" s="12">
        <v>535174074.07407397</v>
      </c>
      <c r="AM14" s="12">
        <v>589429629.62962997</v>
      </c>
      <c r="AN14" s="12">
        <v>577281481.48148096</v>
      </c>
      <c r="AO14" s="12">
        <v>633729629.62962997</v>
      </c>
      <c r="AP14" s="12">
        <v>680618518.51851797</v>
      </c>
      <c r="AQ14" s="12">
        <v>727859259.25925899</v>
      </c>
      <c r="AR14" s="12">
        <v>766200000</v>
      </c>
      <c r="AS14" s="12">
        <v>826370370.37037003</v>
      </c>
      <c r="AT14" s="12">
        <v>800481481.48148096</v>
      </c>
      <c r="AU14" s="12">
        <v>814381481.48148096</v>
      </c>
      <c r="AV14" s="12">
        <v>856396296.296296</v>
      </c>
      <c r="AW14" s="12">
        <v>919729629.62962997</v>
      </c>
      <c r="AX14" s="12">
        <v>1022962962.96296</v>
      </c>
      <c r="AY14" s="12">
        <v>1157662962.96296</v>
      </c>
      <c r="AZ14" s="12">
        <v>1312759259.2592599</v>
      </c>
      <c r="BA14" s="12">
        <v>1370070370.3703699</v>
      </c>
      <c r="BB14" s="12">
        <v>1228329629.6296301</v>
      </c>
      <c r="BC14" s="12">
        <v>1148700000</v>
      </c>
      <c r="BD14" s="12">
        <v>1281337037.03704</v>
      </c>
      <c r="BE14" s="12">
        <v>1327107407.4074099</v>
      </c>
      <c r="BF14" s="12">
        <v>1325425925.92593</v>
      </c>
      <c r="BG14" s="12">
        <v>1378829629.6296301</v>
      </c>
      <c r="BH14" s="12">
        <v>1437755555.5555601</v>
      </c>
      <c r="BI14" s="12">
        <v>1489692592.5925901</v>
      </c>
      <c r="BJ14" s="12">
        <v>1531151851.85185</v>
      </c>
      <c r="BK14" s="12">
        <v>1661529629.6296301</v>
      </c>
      <c r="BL14" s="12">
        <v>1725351851.85185</v>
      </c>
      <c r="BM14" s="12">
        <v>1410796296.2962999</v>
      </c>
      <c r="BN14" s="12">
        <v>1601366666.6666701</v>
      </c>
      <c r="BO14" s="12">
        <v>1867733333.3333299</v>
      </c>
    </row>
    <row r="15" spans="1:68" x14ac:dyDescent="0.2">
      <c r="A15" s="12" t="s">
        <v>139</v>
      </c>
      <c r="B15" s="12" t="s">
        <v>138</v>
      </c>
      <c r="C15" s="12" t="s">
        <v>978</v>
      </c>
      <c r="D15" s="12" t="s">
        <v>979</v>
      </c>
      <c r="E15" s="12">
        <v>18606562977.050098</v>
      </c>
      <c r="F15" s="12">
        <v>19682883149.261299</v>
      </c>
      <c r="G15" s="12">
        <v>19922563187.6101</v>
      </c>
      <c r="H15" s="12">
        <v>21539843446.375</v>
      </c>
      <c r="I15" s="12">
        <v>23801123808.179798</v>
      </c>
      <c r="J15" s="12">
        <v>25976164156.186298</v>
      </c>
      <c r="K15" s="12">
        <v>27307844369.2551</v>
      </c>
      <c r="L15" s="12">
        <v>30442724870.835999</v>
      </c>
      <c r="M15" s="12">
        <v>32714085234.253601</v>
      </c>
      <c r="N15" s="12">
        <v>36683365869.338501</v>
      </c>
      <c r="O15" s="12">
        <v>41333606613.377098</v>
      </c>
      <c r="P15" s="12">
        <v>45216647234.663597</v>
      </c>
      <c r="Q15" s="12">
        <v>52040887850.4673</v>
      </c>
      <c r="R15" s="12">
        <v>63830877642.536797</v>
      </c>
      <c r="S15" s="12">
        <v>88963890935.888</v>
      </c>
      <c r="T15" s="12">
        <v>97303017888.843399</v>
      </c>
      <c r="U15" s="12">
        <v>105059356494.425</v>
      </c>
      <c r="V15" s="12">
        <v>110349850883.23</v>
      </c>
      <c r="W15" s="12">
        <v>118491633469.73</v>
      </c>
      <c r="X15" s="12">
        <v>134898330114.73399</v>
      </c>
      <c r="Y15" s="12">
        <v>149985515320.33401</v>
      </c>
      <c r="Z15" s="12">
        <v>176893068617.207</v>
      </c>
      <c r="AA15" s="12">
        <v>194038397881.496</v>
      </c>
      <c r="AB15" s="12">
        <v>177265418961.89301</v>
      </c>
      <c r="AC15" s="12">
        <v>193518998163.396</v>
      </c>
      <c r="AD15" s="12">
        <v>180637129503.84698</v>
      </c>
      <c r="AE15" s="12">
        <v>182475517627.30801</v>
      </c>
      <c r="AF15" s="12">
        <v>189487162519.85199</v>
      </c>
      <c r="AG15" s="12">
        <v>236154038684.29199</v>
      </c>
      <c r="AH15" s="12">
        <v>299871835376.04199</v>
      </c>
      <c r="AI15" s="12">
        <v>311420509067.62799</v>
      </c>
      <c r="AJ15" s="12">
        <v>325966686052.58099</v>
      </c>
      <c r="AK15" s="12">
        <v>325518458076.53302</v>
      </c>
      <c r="AL15" s="12">
        <v>312128302417.08801</v>
      </c>
      <c r="AM15" s="12">
        <v>322802490487.72101</v>
      </c>
      <c r="AN15" s="12">
        <v>368166023166.02301</v>
      </c>
      <c r="AO15" s="12">
        <v>401341880620.72803</v>
      </c>
      <c r="AP15" s="12">
        <v>435642611296.586</v>
      </c>
      <c r="AQ15" s="12">
        <v>399674421759.479</v>
      </c>
      <c r="AR15" s="12">
        <v>389652212056.64899</v>
      </c>
      <c r="AS15" s="12">
        <v>416167815092.90802</v>
      </c>
      <c r="AT15" s="12">
        <v>379629301675.10797</v>
      </c>
      <c r="AU15" s="12">
        <v>395788696012.05902</v>
      </c>
      <c r="AV15" s="12">
        <v>467739079790.33197</v>
      </c>
      <c r="AW15" s="12">
        <v>614659980082.51501</v>
      </c>
      <c r="AX15" s="12">
        <v>695692898676.56006</v>
      </c>
      <c r="AY15" s="12">
        <v>748417562769.63599</v>
      </c>
      <c r="AZ15" s="12">
        <v>855007458585.224</v>
      </c>
      <c r="BA15" s="12">
        <v>1056112427190.38</v>
      </c>
      <c r="BB15" s="12">
        <v>928762122698.05005</v>
      </c>
      <c r="BC15" s="12">
        <v>1148890200292.4199</v>
      </c>
      <c r="BD15" s="12">
        <v>1398701323029.6299</v>
      </c>
      <c r="BE15" s="12">
        <v>1547649835732.8899</v>
      </c>
      <c r="BF15" s="12">
        <v>1577301840200.01</v>
      </c>
      <c r="BG15" s="12">
        <v>1468597690006.22</v>
      </c>
      <c r="BH15" s="12">
        <v>1351768945139.1101</v>
      </c>
      <c r="BI15" s="12">
        <v>1207580901578.72</v>
      </c>
      <c r="BJ15" s="12">
        <v>1326882104817</v>
      </c>
      <c r="BK15" s="12">
        <v>1429733668185.9099</v>
      </c>
      <c r="BL15" s="12">
        <v>1394671325960.5701</v>
      </c>
      <c r="BM15" s="12">
        <v>1330381544909.3</v>
      </c>
      <c r="BN15" s="12">
        <v>1559033756285.1299</v>
      </c>
      <c r="BO15" s="12">
        <v>1692956646855.7</v>
      </c>
    </row>
    <row r="16" spans="1:68" x14ac:dyDescent="0.2">
      <c r="A16" s="12" t="s">
        <v>17</v>
      </c>
      <c r="B16" s="12" t="s">
        <v>16</v>
      </c>
      <c r="C16" s="12" t="s">
        <v>978</v>
      </c>
      <c r="D16" s="12" t="s">
        <v>979</v>
      </c>
      <c r="E16" s="12">
        <v>6592693841.1849499</v>
      </c>
      <c r="F16" s="12">
        <v>7311749633.3622904</v>
      </c>
      <c r="G16" s="12">
        <v>7756110210.1196604</v>
      </c>
      <c r="H16" s="12">
        <v>8374175257.7307501</v>
      </c>
      <c r="I16" s="12">
        <v>9169983885.7118492</v>
      </c>
      <c r="J16" s="12">
        <v>9994070615.8599701</v>
      </c>
      <c r="K16" s="12">
        <v>10887682273.1014</v>
      </c>
      <c r="L16" s="12">
        <v>11579431668.9165</v>
      </c>
      <c r="M16" s="12">
        <v>12440625312.8685</v>
      </c>
      <c r="N16" s="12">
        <v>13582798556.2404</v>
      </c>
      <c r="O16" s="12">
        <v>15373005557.0257</v>
      </c>
      <c r="P16" s="12">
        <v>17858486066.747398</v>
      </c>
      <c r="Q16" s="12">
        <v>22059612476.933201</v>
      </c>
      <c r="R16" s="12">
        <v>29515467706.796001</v>
      </c>
      <c r="S16" s="12">
        <v>35189299911.660797</v>
      </c>
      <c r="T16" s="12">
        <v>40059206763.056</v>
      </c>
      <c r="U16" s="12">
        <v>42959976221.523399</v>
      </c>
      <c r="V16" s="12">
        <v>51545758887.686302</v>
      </c>
      <c r="W16" s="12">
        <v>62052259073.249298</v>
      </c>
      <c r="X16" s="12">
        <v>73937296963.458603</v>
      </c>
      <c r="Y16" s="12">
        <v>82058912997.234604</v>
      </c>
      <c r="Z16" s="12">
        <v>71034228443.061996</v>
      </c>
      <c r="AA16" s="12">
        <v>71275287569.573303</v>
      </c>
      <c r="AB16" s="12">
        <v>72121016546.652405</v>
      </c>
      <c r="AC16" s="12">
        <v>67985344886.871597</v>
      </c>
      <c r="AD16" s="12">
        <v>69386774408.087204</v>
      </c>
      <c r="AE16" s="12">
        <v>99036164939.161804</v>
      </c>
      <c r="AF16" s="12">
        <v>124168442533.74001</v>
      </c>
      <c r="AG16" s="12">
        <v>133339397080.129</v>
      </c>
      <c r="AH16" s="12">
        <v>133105805512.22</v>
      </c>
      <c r="AI16" s="12">
        <v>166463386179.354</v>
      </c>
      <c r="AJ16" s="12">
        <v>173794177961.108</v>
      </c>
      <c r="AK16" s="12">
        <v>195078126721.763</v>
      </c>
      <c r="AL16" s="12">
        <v>190379720809.17999</v>
      </c>
      <c r="AM16" s="12">
        <v>203535242741.83801</v>
      </c>
      <c r="AN16" s="12">
        <v>241038283062.64499</v>
      </c>
      <c r="AO16" s="12">
        <v>237250948791.26599</v>
      </c>
      <c r="AP16" s="12">
        <v>212790348404.55499</v>
      </c>
      <c r="AQ16" s="12">
        <v>218259904401.95599</v>
      </c>
      <c r="AR16" s="12">
        <v>217259147049.95401</v>
      </c>
      <c r="AS16" s="12">
        <v>197289625479.90601</v>
      </c>
      <c r="AT16" s="12">
        <v>197508773215.323</v>
      </c>
      <c r="AU16" s="12">
        <v>214394866675.23999</v>
      </c>
      <c r="AV16" s="12">
        <v>262273631180.05399</v>
      </c>
      <c r="AW16" s="12">
        <v>301457562038.54102</v>
      </c>
      <c r="AX16" s="12">
        <v>316092273276.01501</v>
      </c>
      <c r="AY16" s="12">
        <v>336280064332.41101</v>
      </c>
      <c r="AZ16" s="12">
        <v>389185571506.052</v>
      </c>
      <c r="BA16" s="12">
        <v>432051935642.94501</v>
      </c>
      <c r="BB16" s="12">
        <v>401758735822.211</v>
      </c>
      <c r="BC16" s="12">
        <v>392275107258.66699</v>
      </c>
      <c r="BD16" s="12">
        <v>431685217367.51099</v>
      </c>
      <c r="BE16" s="12">
        <v>409401816050.53101</v>
      </c>
      <c r="BF16" s="12">
        <v>430190979705.96198</v>
      </c>
      <c r="BG16" s="12">
        <v>442584815286.034</v>
      </c>
      <c r="BH16" s="12">
        <v>381971148530.54303</v>
      </c>
      <c r="BI16" s="12">
        <v>395837353031.49902</v>
      </c>
      <c r="BJ16" s="12">
        <v>417261151844.97699</v>
      </c>
      <c r="BK16" s="12">
        <v>454991174096.10199</v>
      </c>
      <c r="BL16" s="12">
        <v>444596155845.25403</v>
      </c>
      <c r="BM16" s="12">
        <v>435049316955.737</v>
      </c>
      <c r="BN16" s="12">
        <v>479295362747.047</v>
      </c>
      <c r="BO16" s="12">
        <v>470941926750.74103</v>
      </c>
    </row>
    <row r="17" spans="1:67" x14ac:dyDescent="0.2">
      <c r="A17" s="12" t="s">
        <v>179</v>
      </c>
      <c r="B17" s="12" t="s">
        <v>178</v>
      </c>
      <c r="C17" s="12" t="s">
        <v>978</v>
      </c>
      <c r="D17" s="12" t="s">
        <v>979</v>
      </c>
      <c r="AI17" s="12">
        <v>8884848484.8484802</v>
      </c>
      <c r="AJ17" s="12">
        <v>5344000000</v>
      </c>
      <c r="AK17" s="12">
        <v>444658671.586716</v>
      </c>
      <c r="AL17" s="12">
        <v>1570392598.1495399</v>
      </c>
      <c r="AM17" s="12">
        <v>1193141110.35043</v>
      </c>
      <c r="AN17" s="12">
        <v>2417331192.9526</v>
      </c>
      <c r="AO17" s="12">
        <v>3176507376.3183599</v>
      </c>
      <c r="AP17" s="12">
        <v>3962362387.4792199</v>
      </c>
      <c r="AQ17" s="12">
        <v>4446368570.6900997</v>
      </c>
      <c r="AR17" s="12">
        <v>4581248566.5015802</v>
      </c>
      <c r="AS17" s="12">
        <v>5272615722.9689198</v>
      </c>
      <c r="AT17" s="12">
        <v>5707616203.7201099</v>
      </c>
      <c r="AU17" s="12">
        <v>6236087738.2828398</v>
      </c>
      <c r="AV17" s="12">
        <v>7276413079.1145096</v>
      </c>
      <c r="AW17" s="12">
        <v>8680405740.9412498</v>
      </c>
      <c r="AX17" s="12">
        <v>13245421880.834</v>
      </c>
      <c r="AY17" s="12">
        <v>20981929497.618801</v>
      </c>
      <c r="AZ17" s="12">
        <v>33049419431.2244</v>
      </c>
      <c r="BA17" s="12">
        <v>48851293785.448303</v>
      </c>
      <c r="BB17" s="12">
        <v>44292427184.949203</v>
      </c>
      <c r="BC17" s="12">
        <v>52909294791.926201</v>
      </c>
      <c r="BD17" s="12">
        <v>65952796427.947304</v>
      </c>
      <c r="BE17" s="12">
        <v>69679944504.197205</v>
      </c>
      <c r="BF17" s="12">
        <v>74160560123.690201</v>
      </c>
      <c r="BG17" s="12">
        <v>75239785452.102203</v>
      </c>
      <c r="BH17" s="12">
        <v>53076235354.746002</v>
      </c>
      <c r="BI17" s="12">
        <v>37866996882.915703</v>
      </c>
      <c r="BJ17" s="12">
        <v>40866627351.981697</v>
      </c>
      <c r="BK17" s="12">
        <v>47112470051.770103</v>
      </c>
      <c r="BL17" s="12">
        <v>48174235294.117599</v>
      </c>
      <c r="BM17" s="12">
        <v>42693000000</v>
      </c>
      <c r="BN17" s="12">
        <v>54825411764.705902</v>
      </c>
      <c r="BO17" s="12">
        <v>78721058823.529404</v>
      </c>
    </row>
    <row r="18" spans="1:67" x14ac:dyDescent="0.2">
      <c r="A18" s="12" t="s">
        <v>301</v>
      </c>
      <c r="B18" s="12" t="s">
        <v>300</v>
      </c>
      <c r="C18" s="12" t="s">
        <v>978</v>
      </c>
      <c r="D18" s="12" t="s">
        <v>979</v>
      </c>
      <c r="E18" s="12">
        <v>195999990</v>
      </c>
      <c r="F18" s="12">
        <v>202999992</v>
      </c>
      <c r="G18" s="12">
        <v>213500006</v>
      </c>
      <c r="H18" s="12">
        <v>232749998</v>
      </c>
      <c r="I18" s="12">
        <v>260750008</v>
      </c>
      <c r="J18" s="12">
        <v>158994962.96296301</v>
      </c>
      <c r="K18" s="12">
        <v>165444571.42857099</v>
      </c>
      <c r="L18" s="12">
        <v>178297142.85714301</v>
      </c>
      <c r="M18" s="12">
        <v>183200000</v>
      </c>
      <c r="N18" s="12">
        <v>190205714.285714</v>
      </c>
      <c r="O18" s="12">
        <v>242732571.42857099</v>
      </c>
      <c r="P18" s="12">
        <v>252842285.714286</v>
      </c>
      <c r="Q18" s="12">
        <v>246804571.42857099</v>
      </c>
      <c r="R18" s="12">
        <v>304339839.55214602</v>
      </c>
      <c r="S18" s="12">
        <v>345263492.063492</v>
      </c>
      <c r="T18" s="12">
        <v>420986666.66666698</v>
      </c>
      <c r="U18" s="12">
        <v>448412753.62318802</v>
      </c>
      <c r="V18" s="12">
        <v>547535555.55555606</v>
      </c>
      <c r="W18" s="12">
        <v>610225555.55555606</v>
      </c>
      <c r="X18" s="12">
        <v>782496666.66666698</v>
      </c>
      <c r="Y18" s="12">
        <v>919726666.66666698</v>
      </c>
      <c r="Z18" s="12">
        <v>969046666.66666698</v>
      </c>
      <c r="AA18" s="12">
        <v>1013222222.2222199</v>
      </c>
      <c r="AB18" s="12">
        <v>1082926304.4647701</v>
      </c>
      <c r="AC18" s="12">
        <v>987143931.16698694</v>
      </c>
      <c r="AD18" s="12">
        <v>1149979285.7734699</v>
      </c>
      <c r="AE18" s="12">
        <v>1201725497.0657799</v>
      </c>
      <c r="AF18" s="12">
        <v>1131466494.0110099</v>
      </c>
      <c r="AG18" s="12">
        <v>1082403219.48787</v>
      </c>
      <c r="AH18" s="12">
        <v>1113924130.41149</v>
      </c>
      <c r="AI18" s="12">
        <v>1132101252.5181701</v>
      </c>
      <c r="AJ18" s="12">
        <v>1167398478.3459001</v>
      </c>
      <c r="AK18" s="12">
        <v>1083037670.60484</v>
      </c>
      <c r="AL18" s="12">
        <v>938632612.02635896</v>
      </c>
      <c r="AM18" s="12">
        <v>925030590.15368295</v>
      </c>
      <c r="AN18" s="12">
        <v>1000428393.88528</v>
      </c>
      <c r="AO18" s="12">
        <v>869033856.31709301</v>
      </c>
      <c r="AP18" s="12">
        <v>972896267.91542494</v>
      </c>
      <c r="AQ18" s="12">
        <v>893770740.20741606</v>
      </c>
      <c r="AR18" s="12">
        <v>808077223.36574602</v>
      </c>
      <c r="AS18" s="12">
        <v>870486065.88313699</v>
      </c>
      <c r="AT18" s="12">
        <v>876794723.06858599</v>
      </c>
      <c r="AU18" s="12">
        <v>825394519.42372799</v>
      </c>
      <c r="AV18" s="12">
        <v>784654423.62047601</v>
      </c>
      <c r="AW18" s="12">
        <v>915257323.39610004</v>
      </c>
      <c r="AX18" s="12">
        <v>1117113079.73645</v>
      </c>
      <c r="AY18" s="12">
        <v>1273375078.4484401</v>
      </c>
      <c r="AZ18" s="12">
        <v>1356199387.42308</v>
      </c>
      <c r="BA18" s="12">
        <v>1611835857.0458801</v>
      </c>
      <c r="BB18" s="12">
        <v>1781455139.8593099</v>
      </c>
      <c r="BC18" s="12">
        <v>2032135192.01248</v>
      </c>
      <c r="BD18" s="12">
        <v>2235820809.3200598</v>
      </c>
      <c r="BE18" s="12">
        <v>2333341334.45753</v>
      </c>
      <c r="BF18" s="12">
        <v>2451606632.29246</v>
      </c>
      <c r="BG18" s="12">
        <v>2705783329.8048301</v>
      </c>
      <c r="BH18" s="12">
        <v>3104003546.2649698</v>
      </c>
      <c r="BI18" s="12">
        <v>2644487776.5007701</v>
      </c>
      <c r="BJ18" s="12">
        <v>2723586962.8403401</v>
      </c>
      <c r="BK18" s="12">
        <v>2667182199.51333</v>
      </c>
      <c r="BL18" s="12">
        <v>2576518879.8235302</v>
      </c>
      <c r="BM18" s="12">
        <v>2649680261.43998</v>
      </c>
      <c r="BN18" s="12">
        <v>2775798697.4718599</v>
      </c>
      <c r="BO18" s="12">
        <v>3338722827.6624098</v>
      </c>
    </row>
    <row r="19" spans="1:67" x14ac:dyDescent="0.2">
      <c r="A19" s="12" t="s">
        <v>31</v>
      </c>
      <c r="B19" s="12" t="s">
        <v>30</v>
      </c>
      <c r="C19" s="12" t="s">
        <v>978</v>
      </c>
      <c r="D19" s="12" t="s">
        <v>979</v>
      </c>
      <c r="E19" s="12">
        <v>11658722590.99</v>
      </c>
      <c r="F19" s="12">
        <v>12400145221.594999</v>
      </c>
      <c r="G19" s="12">
        <v>13264015675.3193</v>
      </c>
      <c r="H19" s="12">
        <v>14260017387.0492</v>
      </c>
      <c r="I19" s="12">
        <v>15960106680.673201</v>
      </c>
      <c r="J19" s="12">
        <v>17371457607.937401</v>
      </c>
      <c r="K19" s="12">
        <v>18651883472.480801</v>
      </c>
      <c r="L19" s="12">
        <v>19992040788.459301</v>
      </c>
      <c r="M19" s="12">
        <v>21376353113.474998</v>
      </c>
      <c r="N19" s="12">
        <v>23710735894.702202</v>
      </c>
      <c r="O19" s="12">
        <v>26706196046.793098</v>
      </c>
      <c r="P19" s="12">
        <v>29821661869.911999</v>
      </c>
      <c r="Q19" s="12">
        <v>37209418018.513397</v>
      </c>
      <c r="R19" s="12">
        <v>47743801490.374702</v>
      </c>
      <c r="S19" s="12">
        <v>56033077879.038902</v>
      </c>
      <c r="T19" s="12">
        <v>65678189097.290802</v>
      </c>
      <c r="U19" s="12">
        <v>71113882967.607101</v>
      </c>
      <c r="V19" s="12">
        <v>82839905458.638199</v>
      </c>
      <c r="W19" s="12">
        <v>101246526194.44099</v>
      </c>
      <c r="X19" s="12">
        <v>116315456796.918</v>
      </c>
      <c r="Y19" s="12">
        <v>126829314388.19099</v>
      </c>
      <c r="Z19" s="12">
        <v>104730018470.23</v>
      </c>
      <c r="AA19" s="12">
        <v>92095926187.533096</v>
      </c>
      <c r="AB19" s="12">
        <v>87184239053.254395</v>
      </c>
      <c r="AC19" s="12">
        <v>83349530159.173401</v>
      </c>
      <c r="AD19" s="12">
        <v>86268264148.379593</v>
      </c>
      <c r="AE19" s="12">
        <v>120018787249.41299</v>
      </c>
      <c r="AF19" s="12">
        <v>149394404105.88901</v>
      </c>
      <c r="AG19" s="12">
        <v>162299103675.26099</v>
      </c>
      <c r="AH19" s="12">
        <v>164221056511.05701</v>
      </c>
      <c r="AI19" s="12">
        <v>205331747947.85101</v>
      </c>
      <c r="AJ19" s="12">
        <v>210510999409.33301</v>
      </c>
      <c r="AK19" s="12">
        <v>234781652446.67499</v>
      </c>
      <c r="AL19" s="12">
        <v>224721795708.95499</v>
      </c>
      <c r="AM19" s="12">
        <v>244884129491.198</v>
      </c>
      <c r="AN19" s="12">
        <v>288025588396.27802</v>
      </c>
      <c r="AO19" s="12">
        <v>279201433224.75598</v>
      </c>
      <c r="AP19" s="12">
        <v>252708051420.83899</v>
      </c>
      <c r="AQ19" s="12">
        <v>258528339631.02899</v>
      </c>
      <c r="AR19" s="12">
        <v>258245733221.46799</v>
      </c>
      <c r="AS19" s="12">
        <v>236792460312.47101</v>
      </c>
      <c r="AT19" s="12">
        <v>236746141604.37</v>
      </c>
      <c r="AU19" s="12">
        <v>258383599375.177</v>
      </c>
      <c r="AV19" s="12">
        <v>318082528506.58801</v>
      </c>
      <c r="AW19" s="12">
        <v>369214712443.20599</v>
      </c>
      <c r="AX19" s="12">
        <v>385714762230.039</v>
      </c>
      <c r="AY19" s="12">
        <v>408259840868.823</v>
      </c>
      <c r="AZ19" s="12">
        <v>470922156309.453</v>
      </c>
      <c r="BA19" s="12">
        <v>517328087920.078</v>
      </c>
      <c r="BB19" s="12">
        <v>483254171097.81201</v>
      </c>
      <c r="BC19" s="12">
        <v>481420882905.00098</v>
      </c>
      <c r="BD19" s="12">
        <v>523330354138.133</v>
      </c>
      <c r="BE19" s="12">
        <v>496152879924.72699</v>
      </c>
      <c r="BF19" s="12">
        <v>521791015247.06</v>
      </c>
      <c r="BG19" s="12">
        <v>535390200131.01801</v>
      </c>
      <c r="BH19" s="12">
        <v>462335574841.48401</v>
      </c>
      <c r="BI19" s="12">
        <v>476062757356.927</v>
      </c>
      <c r="BJ19" s="12">
        <v>502764720556.354</v>
      </c>
      <c r="BK19" s="12">
        <v>543299066998.90198</v>
      </c>
      <c r="BL19" s="12">
        <v>535865804349.80298</v>
      </c>
      <c r="BM19" s="12">
        <v>526264230147.39398</v>
      </c>
      <c r="BN19" s="12">
        <v>600748812601.54102</v>
      </c>
      <c r="BO19" s="12">
        <v>583435595579.96301</v>
      </c>
    </row>
    <row r="20" spans="1:67" x14ac:dyDescent="0.2">
      <c r="A20" s="12" t="s">
        <v>11</v>
      </c>
      <c r="B20" s="12" t="s">
        <v>10</v>
      </c>
      <c r="C20" s="12" t="s">
        <v>978</v>
      </c>
      <c r="D20" s="12" t="s">
        <v>979</v>
      </c>
      <c r="E20" s="12">
        <v>226195578.434497</v>
      </c>
      <c r="F20" s="12">
        <v>235668220.50820199</v>
      </c>
      <c r="G20" s="12">
        <v>236434954.038578</v>
      </c>
      <c r="H20" s="12">
        <v>253927697.25804999</v>
      </c>
      <c r="I20" s="12">
        <v>269819005.87813997</v>
      </c>
      <c r="J20" s="12">
        <v>289908680.426395</v>
      </c>
      <c r="K20" s="12">
        <v>302925235.15199703</v>
      </c>
      <c r="L20" s="12">
        <v>306221953.10491103</v>
      </c>
      <c r="M20" s="12">
        <v>326323105.26476002</v>
      </c>
      <c r="N20" s="12">
        <v>330748244.53957403</v>
      </c>
      <c r="O20" s="12">
        <v>333627713.49443799</v>
      </c>
      <c r="P20" s="12">
        <v>335073027.54117</v>
      </c>
      <c r="Q20" s="12">
        <v>410331856.99121797</v>
      </c>
      <c r="R20" s="12">
        <v>504376074.185709</v>
      </c>
      <c r="S20" s="12">
        <v>554654860.70257699</v>
      </c>
      <c r="T20" s="12">
        <v>676870140.34152901</v>
      </c>
      <c r="U20" s="12">
        <v>698408261.92223704</v>
      </c>
      <c r="V20" s="12">
        <v>750049778.84069002</v>
      </c>
      <c r="W20" s="12">
        <v>928843469.43172705</v>
      </c>
      <c r="X20" s="12">
        <v>1186231019.8204401</v>
      </c>
      <c r="Y20" s="12">
        <v>1405251846.5404799</v>
      </c>
      <c r="Z20" s="12">
        <v>1291120188.43104</v>
      </c>
      <c r="AA20" s="12">
        <v>1267778670.35902</v>
      </c>
      <c r="AB20" s="12">
        <v>1095348199.43911</v>
      </c>
      <c r="AC20" s="12">
        <v>1051134008.78979</v>
      </c>
      <c r="AD20" s="12">
        <v>1045712789.14884</v>
      </c>
      <c r="AE20" s="12">
        <v>1336102025.2776301</v>
      </c>
      <c r="AF20" s="12">
        <v>1562412227.9005799</v>
      </c>
      <c r="AG20" s="12">
        <v>1620246083.79478</v>
      </c>
      <c r="AH20" s="12">
        <v>1502294416.1712899</v>
      </c>
      <c r="AI20" s="12">
        <v>1959965330.14765</v>
      </c>
      <c r="AJ20" s="12">
        <v>1986437796.53053</v>
      </c>
      <c r="AK20" s="12">
        <v>1695315305.7030799</v>
      </c>
      <c r="AL20" s="12">
        <v>2274558082.7613502</v>
      </c>
      <c r="AM20" s="12">
        <v>1598075943.8677399</v>
      </c>
      <c r="AN20" s="12">
        <v>2169627137.9207001</v>
      </c>
      <c r="AO20" s="12">
        <v>2361116449.3930802</v>
      </c>
      <c r="AP20" s="12">
        <v>2268301646.4670701</v>
      </c>
      <c r="AQ20" s="12">
        <v>2455092686.3471198</v>
      </c>
      <c r="AR20" s="12">
        <v>3677393998.7448602</v>
      </c>
      <c r="AS20" s="12">
        <v>3519991440.4791298</v>
      </c>
      <c r="AT20" s="12">
        <v>3666222635.1387501</v>
      </c>
      <c r="AU20" s="12">
        <v>4194342686.2178001</v>
      </c>
      <c r="AV20" s="12">
        <v>5349258094.4823904</v>
      </c>
      <c r="AW20" s="12">
        <v>6190270380.49856</v>
      </c>
      <c r="AX20" s="12">
        <v>6567654954.3890305</v>
      </c>
      <c r="AY20" s="12">
        <v>7034111314.8881197</v>
      </c>
      <c r="AZ20" s="12">
        <v>8169048382.8387499</v>
      </c>
      <c r="BA20" s="12">
        <v>9787734526.2396507</v>
      </c>
      <c r="BB20" s="12">
        <v>9738626517.0031891</v>
      </c>
      <c r="BC20" s="12">
        <v>9535345015.7835503</v>
      </c>
      <c r="BD20" s="12">
        <v>10693321363.6574</v>
      </c>
      <c r="BE20" s="12">
        <v>11141358115.899099</v>
      </c>
      <c r="BF20" s="12">
        <v>12517845123.931499</v>
      </c>
      <c r="BG20" s="12">
        <v>13284527846.9081</v>
      </c>
      <c r="BH20" s="12">
        <v>11388160997.1089</v>
      </c>
      <c r="BI20" s="12">
        <v>11821065852.1271</v>
      </c>
      <c r="BJ20" s="12">
        <v>12701655845.961201</v>
      </c>
      <c r="BK20" s="12">
        <v>14262408079.701401</v>
      </c>
      <c r="BL20" s="12">
        <v>14390708756.988001</v>
      </c>
      <c r="BM20" s="12">
        <v>15686741893.5187</v>
      </c>
      <c r="BN20" s="12">
        <v>17687623534.6665</v>
      </c>
      <c r="BO20" s="12">
        <v>17396792699.548901</v>
      </c>
    </row>
    <row r="21" spans="1:67" x14ac:dyDescent="0.2">
      <c r="A21" s="12" t="s">
        <v>313</v>
      </c>
      <c r="B21" s="12" t="s">
        <v>312</v>
      </c>
      <c r="C21" s="12" t="s">
        <v>978</v>
      </c>
      <c r="D21" s="12" t="s">
        <v>979</v>
      </c>
      <c r="E21" s="12">
        <v>330442815.82118601</v>
      </c>
      <c r="F21" s="12">
        <v>350247234.26071203</v>
      </c>
      <c r="G21" s="12">
        <v>379567099.24942201</v>
      </c>
      <c r="H21" s="12">
        <v>394040667.10633498</v>
      </c>
      <c r="I21" s="12">
        <v>410321644.96491098</v>
      </c>
      <c r="J21" s="12">
        <v>422916789.74830002</v>
      </c>
      <c r="K21" s="12">
        <v>433889766.23943597</v>
      </c>
      <c r="L21" s="12">
        <v>450753923.54804802</v>
      </c>
      <c r="M21" s="12">
        <v>460442689.376378</v>
      </c>
      <c r="N21" s="12">
        <v>478298645.39381999</v>
      </c>
      <c r="O21" s="12">
        <v>458404268.761971</v>
      </c>
      <c r="P21" s="12">
        <v>482411179.12117797</v>
      </c>
      <c r="Q21" s="12">
        <v>578595521.99013495</v>
      </c>
      <c r="R21" s="12">
        <v>674773569.87754798</v>
      </c>
      <c r="S21" s="12">
        <v>751133430.449301</v>
      </c>
      <c r="T21" s="12">
        <v>939972703.46302104</v>
      </c>
      <c r="U21" s="12">
        <v>976547188.05477798</v>
      </c>
      <c r="V21" s="12">
        <v>1131224878.1886499</v>
      </c>
      <c r="W21" s="12">
        <v>1475583644.9361401</v>
      </c>
      <c r="X21" s="12">
        <v>1748480620.5239699</v>
      </c>
      <c r="Y21" s="12">
        <v>1928719888.2068801</v>
      </c>
      <c r="Z21" s="12">
        <v>1775842333.57042</v>
      </c>
      <c r="AA21" s="12">
        <v>1754450096.23721</v>
      </c>
      <c r="AB21" s="12">
        <v>1600278605.2546501</v>
      </c>
      <c r="AC21" s="12">
        <v>1459880132.1410699</v>
      </c>
      <c r="AD21" s="12">
        <v>1552493196.28424</v>
      </c>
      <c r="AE21" s="12">
        <v>2036303357.6811299</v>
      </c>
      <c r="AF21" s="12">
        <v>2369834949.7323399</v>
      </c>
      <c r="AG21" s="12">
        <v>2616040478.9930902</v>
      </c>
      <c r="AH21" s="12">
        <v>2615587733.9730301</v>
      </c>
      <c r="AI21" s="12">
        <v>3101300778.5641398</v>
      </c>
      <c r="AJ21" s="12">
        <v>3135045584.0838699</v>
      </c>
      <c r="AK21" s="12">
        <v>3356692505.1826601</v>
      </c>
      <c r="AL21" s="12">
        <v>3199536465.2332802</v>
      </c>
      <c r="AM21" s="12">
        <v>1895290637.0950401</v>
      </c>
      <c r="AN21" s="12">
        <v>2379517975.28056</v>
      </c>
      <c r="AO21" s="12">
        <v>2586550595.41013</v>
      </c>
      <c r="AP21" s="12">
        <v>2447669101.9517798</v>
      </c>
      <c r="AQ21" s="12">
        <v>2804902367.1468701</v>
      </c>
      <c r="AR21" s="12">
        <v>3389566712.6603699</v>
      </c>
      <c r="AS21" s="12">
        <v>2968370087.59759</v>
      </c>
      <c r="AT21" s="12">
        <v>3190371080.94768</v>
      </c>
      <c r="AU21" s="12">
        <v>3622350062.9605298</v>
      </c>
      <c r="AV21" s="12">
        <v>4740768142.6749401</v>
      </c>
      <c r="AW21" s="12">
        <v>5451688537.6095896</v>
      </c>
      <c r="AX21" s="12">
        <v>6146353173.3492899</v>
      </c>
      <c r="AY21" s="12">
        <v>6547419820.3811302</v>
      </c>
      <c r="AZ21" s="12">
        <v>7625722836.7684698</v>
      </c>
      <c r="BA21" s="12">
        <v>9451435490.1146698</v>
      </c>
      <c r="BB21" s="12">
        <v>9450696873.3432598</v>
      </c>
      <c r="BC21" s="12">
        <v>10109619740.6994</v>
      </c>
      <c r="BD21" s="12">
        <v>12080295977.5632</v>
      </c>
      <c r="BE21" s="12">
        <v>12561015156.5683</v>
      </c>
      <c r="BF21" s="12">
        <v>13444300485.8412</v>
      </c>
      <c r="BG21" s="12">
        <v>13943016076.743601</v>
      </c>
      <c r="BH21" s="12">
        <v>11832159315.629801</v>
      </c>
      <c r="BI21" s="12">
        <v>12833363045.3367</v>
      </c>
      <c r="BJ21" s="12">
        <v>14106955615.3442</v>
      </c>
      <c r="BK21" s="12">
        <v>15890066221.2882</v>
      </c>
      <c r="BL21" s="12">
        <v>16032813501.6639</v>
      </c>
      <c r="BM21" s="12">
        <v>17725010530.789398</v>
      </c>
      <c r="BN21" s="12">
        <v>19642668879.769402</v>
      </c>
      <c r="BO21" s="12">
        <v>18820064797.837898</v>
      </c>
    </row>
    <row r="22" spans="1:67" x14ac:dyDescent="0.2">
      <c r="A22" s="12" t="s">
        <v>99</v>
      </c>
      <c r="B22" s="12" t="s">
        <v>98</v>
      </c>
      <c r="C22" s="12" t="s">
        <v>978</v>
      </c>
      <c r="D22" s="12" t="s">
        <v>979</v>
      </c>
      <c r="E22" s="12">
        <v>4274894083.3333302</v>
      </c>
      <c r="F22" s="12">
        <v>4817580375</v>
      </c>
      <c r="G22" s="12">
        <v>5081413541.6666698</v>
      </c>
      <c r="H22" s="12">
        <v>5319458562.5</v>
      </c>
      <c r="I22" s="12">
        <v>5386054833.3333302</v>
      </c>
      <c r="J22" s="12">
        <v>5906636791.6666698</v>
      </c>
      <c r="K22" s="12">
        <v>6439687854.1666698</v>
      </c>
      <c r="L22" s="12">
        <v>7253575687.5</v>
      </c>
      <c r="M22" s="12">
        <v>7483685770.8333302</v>
      </c>
      <c r="N22" s="12">
        <v>8471006437.5</v>
      </c>
      <c r="O22" s="12">
        <v>8992722166.6666698</v>
      </c>
      <c r="P22" s="12">
        <v>8751843187.5</v>
      </c>
      <c r="Q22" s="12">
        <v>6288245866.6666698</v>
      </c>
      <c r="R22" s="12">
        <v>8086725729.3407001</v>
      </c>
      <c r="S22" s="12">
        <v>12512460519.708799</v>
      </c>
      <c r="T22" s="12">
        <v>19448348073.456501</v>
      </c>
      <c r="U22" s="12">
        <v>10117113333.3333</v>
      </c>
      <c r="V22" s="12">
        <v>9651149301.8745995</v>
      </c>
      <c r="W22" s="12">
        <v>13281767142.8571</v>
      </c>
      <c r="X22" s="12">
        <v>15565480321.944799</v>
      </c>
      <c r="Y22" s="12">
        <v>18138049095.607201</v>
      </c>
      <c r="Z22" s="12">
        <v>20249694002.448002</v>
      </c>
      <c r="AA22" s="12">
        <v>18525399201.596802</v>
      </c>
      <c r="AB22" s="12">
        <v>17609048821.548801</v>
      </c>
      <c r="AC22" s="12">
        <v>18920840000</v>
      </c>
      <c r="AD22" s="12">
        <v>22278423076.9231</v>
      </c>
      <c r="AE22" s="12">
        <v>21774033333.333302</v>
      </c>
      <c r="AF22" s="12">
        <v>24298032258.064499</v>
      </c>
      <c r="AG22" s="12">
        <v>26579005558.3652</v>
      </c>
      <c r="AH22" s="12">
        <v>28781715188.891899</v>
      </c>
      <c r="AI22" s="12">
        <v>31598340778.2164</v>
      </c>
      <c r="AJ22" s="12">
        <v>30957483949.5798</v>
      </c>
      <c r="AK22" s="12">
        <v>31708874594.164501</v>
      </c>
      <c r="AL22" s="12">
        <v>33166519417.989399</v>
      </c>
      <c r="AM22" s="12">
        <v>33768660882.792999</v>
      </c>
      <c r="AN22" s="12">
        <v>37939748768.6567</v>
      </c>
      <c r="AO22" s="12">
        <v>46438484107.579498</v>
      </c>
      <c r="AP22" s="12">
        <v>48244309133.489502</v>
      </c>
      <c r="AQ22" s="12">
        <v>49984559471.365601</v>
      </c>
      <c r="AR22" s="12">
        <v>51270569883.527496</v>
      </c>
      <c r="AS22" s="12">
        <v>53369787318.624496</v>
      </c>
      <c r="AT22" s="12">
        <v>53991289844.329102</v>
      </c>
      <c r="AU22" s="12">
        <v>54724081490.510201</v>
      </c>
      <c r="AV22" s="12">
        <v>60158929188.2556</v>
      </c>
      <c r="AW22" s="12">
        <v>65108544250.042503</v>
      </c>
      <c r="AX22" s="12">
        <v>69442943089.430893</v>
      </c>
      <c r="AY22" s="12">
        <v>71819083683.740295</v>
      </c>
      <c r="AZ22" s="12">
        <v>79611888213.147995</v>
      </c>
      <c r="BA22" s="12">
        <v>91631278239.3237</v>
      </c>
      <c r="BB22" s="12">
        <v>102477779556.785</v>
      </c>
      <c r="BC22" s="12">
        <v>115279077465.226</v>
      </c>
      <c r="BD22" s="12">
        <v>128637983882.83299</v>
      </c>
      <c r="BE22" s="12">
        <v>133355820262.925</v>
      </c>
      <c r="BF22" s="12">
        <v>149990529836.78</v>
      </c>
      <c r="BG22" s="12">
        <v>172885432686.94501</v>
      </c>
      <c r="BH22" s="12">
        <v>195078573252.202</v>
      </c>
      <c r="BI22" s="12">
        <v>265236390328.62701</v>
      </c>
      <c r="BJ22" s="12">
        <v>293754781336</v>
      </c>
      <c r="BK22" s="12">
        <v>321379127909.35303</v>
      </c>
      <c r="BL22" s="12">
        <v>351238399005.45099</v>
      </c>
      <c r="BM22" s="12">
        <v>373902197869.15997</v>
      </c>
      <c r="BN22" s="12">
        <v>416264800549.026</v>
      </c>
      <c r="BO22" s="12">
        <v>460201265527.97699</v>
      </c>
    </row>
    <row r="23" spans="1:67" x14ac:dyDescent="0.2">
      <c r="A23" s="12" t="s">
        <v>91</v>
      </c>
      <c r="B23" s="12" t="s">
        <v>90</v>
      </c>
      <c r="C23" s="12" t="s">
        <v>978</v>
      </c>
      <c r="D23" s="12" t="s">
        <v>979</v>
      </c>
      <c r="Y23" s="12">
        <v>19839230769.230801</v>
      </c>
      <c r="Z23" s="12">
        <v>19870000000</v>
      </c>
      <c r="AA23" s="12">
        <v>19342000000</v>
      </c>
      <c r="AB23" s="12">
        <v>16563666666.6667</v>
      </c>
      <c r="AC23" s="12">
        <v>17594944444.444401</v>
      </c>
      <c r="AD23" s="12">
        <v>17155421052.631599</v>
      </c>
      <c r="AE23" s="12">
        <v>20249294117.647099</v>
      </c>
      <c r="AF23" s="12">
        <v>28101000000</v>
      </c>
      <c r="AG23" s="12">
        <v>22555941176.4706</v>
      </c>
      <c r="AH23" s="12">
        <v>21988444444.444401</v>
      </c>
      <c r="AI23" s="12">
        <v>20632090909.0909</v>
      </c>
      <c r="AJ23" s="12">
        <v>10943548387.0968</v>
      </c>
      <c r="AK23" s="12">
        <v>10350515463.9175</v>
      </c>
      <c r="AL23" s="12">
        <v>10832064941.653999</v>
      </c>
      <c r="AM23" s="12">
        <v>9697416974.1697407</v>
      </c>
      <c r="AN23" s="12">
        <v>18991484420.360001</v>
      </c>
      <c r="AO23" s="12">
        <v>12294964837.623501</v>
      </c>
      <c r="AP23" s="12">
        <v>11316127378.9613</v>
      </c>
      <c r="AQ23" s="12">
        <v>15031055046.7575</v>
      </c>
      <c r="AR23" s="12">
        <v>13627325461.174299</v>
      </c>
      <c r="AS23" s="12">
        <v>13245990274.458099</v>
      </c>
      <c r="AT23" s="12">
        <v>14183446025.738899</v>
      </c>
      <c r="AU23" s="12">
        <v>16403043849.8297</v>
      </c>
      <c r="AV23" s="12">
        <v>21144957990.468102</v>
      </c>
      <c r="AW23" s="12">
        <v>26157743368.871601</v>
      </c>
      <c r="AX23" s="12">
        <v>29868657858.008202</v>
      </c>
      <c r="AY23" s="12">
        <v>34380536495.673897</v>
      </c>
      <c r="AZ23" s="12">
        <v>44432811756.473099</v>
      </c>
      <c r="BA23" s="12">
        <v>54480684188.444199</v>
      </c>
      <c r="BB23" s="12">
        <v>52023801230.120003</v>
      </c>
      <c r="BC23" s="12">
        <v>50760929302.514702</v>
      </c>
      <c r="BD23" s="12">
        <v>57737040780.015701</v>
      </c>
      <c r="BE23" s="12">
        <v>54288135058.792603</v>
      </c>
      <c r="BF23" s="12">
        <v>55852123989.950401</v>
      </c>
      <c r="BG23" s="12">
        <v>57157782909.930702</v>
      </c>
      <c r="BH23" s="12">
        <v>50811995688.677101</v>
      </c>
      <c r="BI23" s="12">
        <v>53964253211.839996</v>
      </c>
      <c r="BJ23" s="12">
        <v>59309748166.117897</v>
      </c>
      <c r="BK23" s="12">
        <v>66370132238.391403</v>
      </c>
      <c r="BL23" s="12">
        <v>68881010245.549805</v>
      </c>
      <c r="BM23" s="12">
        <v>70368758395.141006</v>
      </c>
      <c r="BN23" s="12">
        <v>84041493015.661804</v>
      </c>
      <c r="BO23" s="12">
        <v>90346169914.934906</v>
      </c>
    </row>
    <row r="24" spans="1:67" x14ac:dyDescent="0.2">
      <c r="A24" s="12" t="s">
        <v>251</v>
      </c>
      <c r="B24" s="12" t="s">
        <v>250</v>
      </c>
      <c r="C24" s="12" t="s">
        <v>978</v>
      </c>
      <c r="D24" s="12" t="s">
        <v>979</v>
      </c>
      <c r="Y24" s="12">
        <v>3072698328.46909</v>
      </c>
      <c r="Z24" s="12">
        <v>3467819148.9361701</v>
      </c>
      <c r="AA24" s="12">
        <v>3645744680.8510599</v>
      </c>
      <c r="AB24" s="12">
        <v>3735106382.9787202</v>
      </c>
      <c r="AC24" s="12">
        <v>3905585106.3829799</v>
      </c>
      <c r="AD24" s="12">
        <v>3651861702.1276598</v>
      </c>
      <c r="AE24" s="12">
        <v>3052393617.0212798</v>
      </c>
      <c r="AF24" s="12">
        <v>3392021010.6382999</v>
      </c>
      <c r="AG24" s="12">
        <v>3702393617.0212798</v>
      </c>
      <c r="AH24" s="12">
        <v>3863563829.78723</v>
      </c>
      <c r="AI24" s="12">
        <v>4229787234.0425501</v>
      </c>
      <c r="AJ24" s="12">
        <v>4616223404.2553196</v>
      </c>
      <c r="AK24" s="12">
        <v>4751063829.7872295</v>
      </c>
      <c r="AL24" s="12">
        <v>5200265957.4468098</v>
      </c>
      <c r="AM24" s="12">
        <v>5567553457.4468098</v>
      </c>
      <c r="AN24" s="12">
        <v>5849467819.1489401</v>
      </c>
      <c r="AO24" s="12">
        <v>6101861436.1702099</v>
      </c>
      <c r="AP24" s="12">
        <v>6349202393.6170197</v>
      </c>
      <c r="AQ24" s="12">
        <v>6183776595.7446804</v>
      </c>
      <c r="AR24" s="12">
        <v>6621010372.3404303</v>
      </c>
      <c r="AS24" s="12">
        <v>9062898936.1702099</v>
      </c>
      <c r="AT24" s="12">
        <v>8976196808.5106392</v>
      </c>
      <c r="AU24" s="12">
        <v>9593510638.2978706</v>
      </c>
      <c r="AV24" s="12">
        <v>11074813829.787201</v>
      </c>
      <c r="AW24" s="12">
        <v>13150159574.4681</v>
      </c>
      <c r="AX24" s="12">
        <v>15968723404.255301</v>
      </c>
      <c r="AY24" s="12">
        <v>18504760638.297901</v>
      </c>
      <c r="AZ24" s="12">
        <v>21730000000</v>
      </c>
      <c r="BA24" s="12">
        <v>25710904255.319099</v>
      </c>
      <c r="BB24" s="12">
        <v>22938218085.1064</v>
      </c>
      <c r="BC24" s="12">
        <v>25713271276.595699</v>
      </c>
      <c r="BD24" s="12">
        <v>28776595744.680901</v>
      </c>
      <c r="BE24" s="12">
        <v>30749308510.638302</v>
      </c>
      <c r="BF24" s="12">
        <v>32539468085.1064</v>
      </c>
      <c r="BG24" s="12">
        <v>33387712765.957401</v>
      </c>
      <c r="BH24" s="12">
        <v>31050638297.872299</v>
      </c>
      <c r="BI24" s="12">
        <v>32234973404.255299</v>
      </c>
      <c r="BJ24" s="12">
        <v>35473776595.744698</v>
      </c>
      <c r="BK24" s="12">
        <v>37802005319.148903</v>
      </c>
      <c r="BL24" s="12">
        <v>38653318085.1064</v>
      </c>
      <c r="BM24" s="12">
        <v>34621807712.765999</v>
      </c>
      <c r="BN24" s="12">
        <v>39288670212.765999</v>
      </c>
      <c r="BO24" s="12">
        <v>44383297872.340401</v>
      </c>
    </row>
    <row r="25" spans="1:67" x14ac:dyDescent="0.2">
      <c r="A25" s="12" t="s">
        <v>269</v>
      </c>
      <c r="B25" s="12" t="s">
        <v>268</v>
      </c>
      <c r="C25" s="12" t="s">
        <v>978</v>
      </c>
      <c r="D25" s="12" t="s">
        <v>979</v>
      </c>
      <c r="E25" s="12">
        <v>169803921.568627</v>
      </c>
      <c r="F25" s="12">
        <v>190098039.21568599</v>
      </c>
      <c r="G25" s="12">
        <v>212254901.96078399</v>
      </c>
      <c r="H25" s="12">
        <v>237745098.03921601</v>
      </c>
      <c r="I25" s="12">
        <v>266666666.66666701</v>
      </c>
      <c r="J25" s="12">
        <v>300392156.86274499</v>
      </c>
      <c r="K25" s="12">
        <v>340000000</v>
      </c>
      <c r="L25" s="12">
        <v>390196078.431373</v>
      </c>
      <c r="M25" s="12">
        <v>444901960.78431398</v>
      </c>
      <c r="N25" s="12">
        <v>528137254.90196103</v>
      </c>
      <c r="O25" s="12">
        <v>538423153.69261503</v>
      </c>
      <c r="P25" s="12">
        <v>573400000</v>
      </c>
      <c r="Q25" s="12">
        <v>590900000</v>
      </c>
      <c r="R25" s="12">
        <v>670900000</v>
      </c>
      <c r="S25" s="12">
        <v>632400000</v>
      </c>
      <c r="T25" s="12">
        <v>596200000</v>
      </c>
      <c r="U25" s="12">
        <v>642100000</v>
      </c>
      <c r="V25" s="12">
        <v>713000000</v>
      </c>
      <c r="W25" s="12">
        <v>832400000</v>
      </c>
      <c r="X25" s="12">
        <v>1139800100</v>
      </c>
      <c r="Y25" s="12">
        <v>1335300000</v>
      </c>
      <c r="Z25" s="12">
        <v>1426500000</v>
      </c>
      <c r="AA25" s="12">
        <v>1578300000</v>
      </c>
      <c r="AB25" s="12">
        <v>1732800000</v>
      </c>
      <c r="AC25" s="12">
        <v>2041100000</v>
      </c>
      <c r="AD25" s="12">
        <v>2320699900</v>
      </c>
      <c r="AE25" s="12">
        <v>2472500000</v>
      </c>
      <c r="AF25" s="12">
        <v>2713999900</v>
      </c>
      <c r="AG25" s="12">
        <v>2817900000</v>
      </c>
      <c r="AH25" s="12">
        <v>3062000000</v>
      </c>
      <c r="AI25" s="12">
        <v>3166000000</v>
      </c>
      <c r="AJ25" s="12">
        <v>3111160000</v>
      </c>
      <c r="AK25" s="12">
        <v>3109000000</v>
      </c>
      <c r="AL25" s="12">
        <v>3092000000</v>
      </c>
      <c r="AM25" s="12">
        <v>3259000000</v>
      </c>
      <c r="AN25" s="12">
        <v>3429000000</v>
      </c>
      <c r="AO25" s="12">
        <v>3609000000</v>
      </c>
      <c r="AP25" s="12">
        <v>6332360000</v>
      </c>
      <c r="AQ25" s="12">
        <v>6833220000</v>
      </c>
      <c r="AR25" s="12">
        <v>7683870000</v>
      </c>
      <c r="AS25" s="12">
        <v>8076470000</v>
      </c>
      <c r="AT25" s="12">
        <v>8317830000</v>
      </c>
      <c r="AU25" s="12">
        <v>8881160000</v>
      </c>
      <c r="AV25" s="12">
        <v>8870090000</v>
      </c>
      <c r="AW25" s="12">
        <v>9055290000</v>
      </c>
      <c r="AX25" s="12">
        <v>9836200000</v>
      </c>
      <c r="AY25" s="12">
        <v>10167250000</v>
      </c>
      <c r="AZ25" s="12">
        <v>10618340000</v>
      </c>
      <c r="BA25" s="12">
        <v>10526000000</v>
      </c>
      <c r="BB25" s="12">
        <v>9981960000</v>
      </c>
      <c r="BC25" s="12">
        <v>10095760000</v>
      </c>
      <c r="BD25" s="12">
        <v>10070450000</v>
      </c>
      <c r="BE25" s="12">
        <v>10720400000</v>
      </c>
      <c r="BF25" s="12">
        <v>10395500000</v>
      </c>
      <c r="BG25" s="12">
        <v>10974800000</v>
      </c>
      <c r="BH25" s="12">
        <v>11672900000</v>
      </c>
      <c r="BI25" s="12">
        <v>11750800000</v>
      </c>
      <c r="BJ25" s="12">
        <v>12253500000</v>
      </c>
      <c r="BK25" s="12">
        <v>12653600000</v>
      </c>
      <c r="BL25" s="12">
        <v>13058700000</v>
      </c>
      <c r="BM25" s="12">
        <v>9754600000</v>
      </c>
      <c r="BN25" s="12">
        <v>11527600000</v>
      </c>
      <c r="BO25" s="12">
        <v>12897400000</v>
      </c>
    </row>
    <row r="26" spans="1:67" x14ac:dyDescent="0.2">
      <c r="A26" s="12" t="s">
        <v>137</v>
      </c>
      <c r="B26" s="12" t="s">
        <v>136</v>
      </c>
      <c r="C26" s="12" t="s">
        <v>978</v>
      </c>
      <c r="D26" s="12" t="s">
        <v>979</v>
      </c>
      <c r="AM26" s="12">
        <v>1255802469.1357999</v>
      </c>
      <c r="AN26" s="12">
        <v>1866572953.73665</v>
      </c>
      <c r="AO26" s="12">
        <v>2786045321.6374302</v>
      </c>
      <c r="AP26" s="12">
        <v>3671909673.0440102</v>
      </c>
      <c r="AQ26" s="12">
        <v>4116774300.60671</v>
      </c>
      <c r="AR26" s="12">
        <v>4686256363.0470695</v>
      </c>
      <c r="AS26" s="12">
        <v>5567772768.8118801</v>
      </c>
      <c r="AT26" s="12">
        <v>5800615466.2664804</v>
      </c>
      <c r="AU26" s="12">
        <v>6728220886.6454601</v>
      </c>
      <c r="AV26" s="12">
        <v>8498894359.3862896</v>
      </c>
      <c r="AW26" s="12">
        <v>10156541538.399</v>
      </c>
      <c r="AX26" s="12">
        <v>11222796336.542601</v>
      </c>
      <c r="AY26" s="12">
        <v>12864841905.9543</v>
      </c>
      <c r="AZ26" s="12">
        <v>15778734264.3787</v>
      </c>
      <c r="BA26" s="12">
        <v>19112796623.1175</v>
      </c>
      <c r="BB26" s="12">
        <v>17613949091.229401</v>
      </c>
      <c r="BC26" s="12">
        <v>17176315803.729799</v>
      </c>
      <c r="BD26" s="12">
        <v>18644233537.109299</v>
      </c>
      <c r="BE26" s="12">
        <v>17226735995.690498</v>
      </c>
      <c r="BF26" s="12">
        <v>18179108530.5261</v>
      </c>
      <c r="BG26" s="12">
        <v>18558733564.4692</v>
      </c>
      <c r="BH26" s="12">
        <v>16404348871.443701</v>
      </c>
      <c r="BI26" s="12">
        <v>17116926327.624701</v>
      </c>
      <c r="BJ26" s="12">
        <v>18326373366.1105</v>
      </c>
      <c r="BK26" s="12">
        <v>20484053868.924599</v>
      </c>
      <c r="BL26" s="12">
        <v>20482608755.379002</v>
      </c>
      <c r="BM26" s="12">
        <v>20226036564.412899</v>
      </c>
      <c r="BN26" s="12">
        <v>23649568276.8447</v>
      </c>
      <c r="BO26" s="12">
        <v>24473906673.708599</v>
      </c>
    </row>
    <row r="27" spans="1:67" x14ac:dyDescent="0.2">
      <c r="A27" s="12" t="s">
        <v>167</v>
      </c>
      <c r="B27" s="12" t="s">
        <v>166</v>
      </c>
      <c r="C27" s="12" t="s">
        <v>978</v>
      </c>
      <c r="D27" s="12" t="s">
        <v>979</v>
      </c>
      <c r="AK27" s="12">
        <v>9200000000</v>
      </c>
      <c r="AL27" s="12">
        <v>16416666666.6667</v>
      </c>
      <c r="AM27" s="12">
        <v>14952100840.3361</v>
      </c>
      <c r="AN27" s="12">
        <v>13970425776.7549</v>
      </c>
      <c r="AO27" s="12">
        <v>14756846153.846201</v>
      </c>
      <c r="AP27" s="12">
        <v>14130585516.178699</v>
      </c>
      <c r="AQ27" s="12">
        <v>15221352698.8944</v>
      </c>
      <c r="AR27" s="12">
        <v>12138243080.625799</v>
      </c>
      <c r="AS27" s="12">
        <v>12736780455.1539</v>
      </c>
      <c r="AT27" s="12">
        <v>12354820143.884899</v>
      </c>
      <c r="AU27" s="12">
        <v>14594900944.7658</v>
      </c>
      <c r="AV27" s="12">
        <v>17825444724.487801</v>
      </c>
      <c r="AW27" s="12">
        <v>23141566292.946201</v>
      </c>
      <c r="AX27" s="12">
        <v>30210091836.829399</v>
      </c>
      <c r="AY27" s="12">
        <v>36961894281.344398</v>
      </c>
      <c r="AZ27" s="12">
        <v>45275711995.824997</v>
      </c>
      <c r="BA27" s="12">
        <v>60752106347.125999</v>
      </c>
      <c r="BB27" s="12">
        <v>50873167326.041397</v>
      </c>
      <c r="BC27" s="12">
        <v>57231904542.875504</v>
      </c>
      <c r="BD27" s="12">
        <v>61762382327.9319</v>
      </c>
      <c r="BE27" s="12">
        <v>65685890438.892197</v>
      </c>
      <c r="BF27" s="12">
        <v>75527558966.447296</v>
      </c>
      <c r="BG27" s="12">
        <v>78812805039.074295</v>
      </c>
      <c r="BH27" s="12">
        <v>56454889146.608803</v>
      </c>
      <c r="BI27" s="12">
        <v>47723545321.259003</v>
      </c>
      <c r="BJ27" s="12">
        <v>54725302249.8088</v>
      </c>
      <c r="BK27" s="12">
        <v>60031173807.719597</v>
      </c>
      <c r="BL27" s="12">
        <v>64410122847.3508</v>
      </c>
      <c r="BM27" s="12">
        <v>61371755326.2351</v>
      </c>
      <c r="BN27" s="12">
        <v>69673747131.869995</v>
      </c>
      <c r="BO27" s="12">
        <v>72793457588.436707</v>
      </c>
    </row>
    <row r="28" spans="1:67" x14ac:dyDescent="0.2">
      <c r="A28" s="12" t="s">
        <v>245</v>
      </c>
      <c r="B28" s="12" t="s">
        <v>244</v>
      </c>
      <c r="C28" s="12" t="s">
        <v>978</v>
      </c>
      <c r="D28" s="12" t="s">
        <v>979</v>
      </c>
      <c r="E28" s="12">
        <v>28072478.072478101</v>
      </c>
      <c r="F28" s="12">
        <v>29964999.965</v>
      </c>
      <c r="G28" s="12">
        <v>31857591.857591901</v>
      </c>
      <c r="H28" s="12">
        <v>33750113.7501138</v>
      </c>
      <c r="I28" s="12">
        <v>36194586.194586203</v>
      </c>
      <c r="J28" s="12">
        <v>40110040.110040098</v>
      </c>
      <c r="K28" s="12">
        <v>44450044.450044498</v>
      </c>
      <c r="L28" s="12">
        <v>47431255.747674003</v>
      </c>
      <c r="M28" s="12">
        <v>44999910.000179999</v>
      </c>
      <c r="N28" s="12">
        <v>47399905.200189598</v>
      </c>
      <c r="O28" s="12">
        <v>53339893.3202134</v>
      </c>
      <c r="P28" s="12">
        <v>59074687.196185097</v>
      </c>
      <c r="Q28" s="12">
        <v>65998069.384763099</v>
      </c>
      <c r="R28" s="12">
        <v>78214767.830149606</v>
      </c>
      <c r="S28" s="12">
        <v>103160450.445869</v>
      </c>
      <c r="T28" s="12">
        <v>118194026.25157399</v>
      </c>
      <c r="U28" s="12">
        <v>97094227.229247093</v>
      </c>
      <c r="V28" s="12">
        <v>117650000</v>
      </c>
      <c r="W28" s="12">
        <v>136300000</v>
      </c>
      <c r="X28" s="12">
        <v>151800000</v>
      </c>
      <c r="Y28" s="12">
        <v>197938222.43000001</v>
      </c>
      <c r="Z28" s="12">
        <v>196089854.655</v>
      </c>
      <c r="AA28" s="12">
        <v>182206326.98500001</v>
      </c>
      <c r="AB28" s="12">
        <v>192103185.95500001</v>
      </c>
      <c r="AC28" s="12">
        <v>214381949.02000001</v>
      </c>
      <c r="AD28" s="12">
        <v>212643742.66499999</v>
      </c>
      <c r="AE28" s="12">
        <v>231638320.535</v>
      </c>
      <c r="AF28" s="12">
        <v>281082558.58499998</v>
      </c>
      <c r="AG28" s="12">
        <v>320093360.26999998</v>
      </c>
      <c r="AH28" s="12">
        <v>369133890.70499998</v>
      </c>
      <c r="AI28" s="12">
        <v>545686365.523175</v>
      </c>
      <c r="AJ28" s="12">
        <v>594975697.04556</v>
      </c>
      <c r="AK28" s="12">
        <v>693625168.24558997</v>
      </c>
      <c r="AL28" s="12">
        <v>750018765.32771504</v>
      </c>
      <c r="AM28" s="12">
        <v>769649509.48109496</v>
      </c>
      <c r="AN28" s="12">
        <v>816491620.22881496</v>
      </c>
      <c r="AO28" s="12">
        <v>848205276.869645</v>
      </c>
      <c r="AP28" s="12">
        <v>870861115.17749</v>
      </c>
      <c r="AQ28" s="12">
        <v>926550756.03973496</v>
      </c>
      <c r="AR28" s="12">
        <v>996906468.694785</v>
      </c>
      <c r="AS28" s="12">
        <v>1134756760.6207099</v>
      </c>
      <c r="AT28" s="12">
        <v>1168127973.94349</v>
      </c>
      <c r="AU28" s="12">
        <v>1240059540.0934801</v>
      </c>
      <c r="AV28" s="12">
        <v>1303381860.7567401</v>
      </c>
      <c r="AW28" s="12">
        <v>1394273990.6000299</v>
      </c>
      <c r="AX28" s="12">
        <v>1468145956.1991701</v>
      </c>
      <c r="AY28" s="12">
        <v>1584207353.22049</v>
      </c>
      <c r="AZ28" s="12">
        <v>1699214298.9143901</v>
      </c>
      <c r="BA28" s="12">
        <v>1731921564.0667</v>
      </c>
      <c r="BB28" s="12">
        <v>1681473348.43468</v>
      </c>
      <c r="BC28" s="12">
        <v>1739070295.4402699</v>
      </c>
      <c r="BD28" s="12">
        <v>1818831938.1775701</v>
      </c>
      <c r="BE28" s="12">
        <v>1899503249.8643</v>
      </c>
      <c r="BF28" s="12">
        <v>2021757434.18064</v>
      </c>
      <c r="BG28" s="12">
        <v>2125125606.25723</v>
      </c>
      <c r="BH28" s="12">
        <v>2194709309.2420402</v>
      </c>
      <c r="BI28" s="12">
        <v>2240593542.9756999</v>
      </c>
      <c r="BJ28" s="12">
        <v>2266664817.0882201</v>
      </c>
      <c r="BK28" s="12">
        <v>2292787335.6245198</v>
      </c>
      <c r="BL28" s="12">
        <v>2386792476.10637</v>
      </c>
      <c r="BM28" s="12">
        <v>2047727810.06777</v>
      </c>
      <c r="BN28" s="12">
        <v>2424575179.3783002</v>
      </c>
      <c r="BO28" s="12">
        <v>2830507575.6841002</v>
      </c>
    </row>
    <row r="29" spans="1:67" x14ac:dyDescent="0.2">
      <c r="A29" s="12" t="s">
        <v>896</v>
      </c>
      <c r="B29" s="12" t="s">
        <v>987</v>
      </c>
      <c r="C29" s="12" t="s">
        <v>978</v>
      </c>
      <c r="D29" s="12" t="s">
        <v>979</v>
      </c>
      <c r="E29" s="12">
        <v>84466652.588891193</v>
      </c>
      <c r="F29" s="12">
        <v>89249985.125002503</v>
      </c>
      <c r="G29" s="12">
        <v>94149984.3083359</v>
      </c>
      <c r="H29" s="12">
        <v>96366650.605558202</v>
      </c>
      <c r="I29" s="12">
        <v>107566648.738892</v>
      </c>
      <c r="J29" s="12">
        <v>114339050.28584801</v>
      </c>
      <c r="K29" s="12">
        <v>134173375.33543301</v>
      </c>
      <c r="L29" s="12">
        <v>155102980.09435001</v>
      </c>
      <c r="M29" s="12">
        <v>150000000</v>
      </c>
      <c r="N29" s="12">
        <v>164900000</v>
      </c>
      <c r="O29" s="12">
        <v>186300000</v>
      </c>
      <c r="P29" s="12">
        <v>211100000</v>
      </c>
      <c r="Q29" s="12">
        <v>235400000</v>
      </c>
      <c r="R29" s="12">
        <v>269500000</v>
      </c>
      <c r="S29" s="12">
        <v>312600000</v>
      </c>
      <c r="T29" s="12">
        <v>345000000</v>
      </c>
      <c r="U29" s="12">
        <v>386300000</v>
      </c>
      <c r="V29" s="12">
        <v>447000000</v>
      </c>
      <c r="W29" s="12">
        <v>475800000</v>
      </c>
      <c r="X29" s="12">
        <v>517200000</v>
      </c>
      <c r="Y29" s="12">
        <v>613299968</v>
      </c>
      <c r="Z29" s="12">
        <v>739100032</v>
      </c>
      <c r="AA29" s="12">
        <v>785500032</v>
      </c>
      <c r="AB29" s="12">
        <v>889400000</v>
      </c>
      <c r="AC29" s="12">
        <v>985699968</v>
      </c>
      <c r="AD29" s="12">
        <v>1039500032</v>
      </c>
      <c r="AE29" s="12">
        <v>1173500032</v>
      </c>
      <c r="AF29" s="12">
        <v>1296499968</v>
      </c>
      <c r="AG29" s="12">
        <v>1415100032</v>
      </c>
      <c r="AH29" s="12">
        <v>1501500032</v>
      </c>
      <c r="AI29" s="12">
        <v>1592400000</v>
      </c>
      <c r="AJ29" s="12">
        <v>1634900000</v>
      </c>
      <c r="AK29" s="12">
        <v>1679900000</v>
      </c>
      <c r="AL29" s="12">
        <v>1820359900</v>
      </c>
      <c r="AM29" s="12">
        <v>1867160100</v>
      </c>
      <c r="AN29" s="12">
        <v>2030750000</v>
      </c>
      <c r="AO29" s="12">
        <v>2695390000</v>
      </c>
      <c r="AP29" s="12">
        <v>2932827000</v>
      </c>
      <c r="AQ29" s="12">
        <v>3130748000</v>
      </c>
      <c r="AR29" s="12">
        <v>3324433000</v>
      </c>
      <c r="AS29" s="12">
        <v>3480219000</v>
      </c>
      <c r="AT29" s="12">
        <v>3680483000</v>
      </c>
      <c r="AU29" s="12">
        <v>3937228000</v>
      </c>
      <c r="AV29" s="12">
        <v>4186525000</v>
      </c>
      <c r="AW29" s="12">
        <v>4484703000</v>
      </c>
      <c r="AX29" s="12">
        <v>4868136000</v>
      </c>
      <c r="AY29" s="12">
        <v>6144000000</v>
      </c>
      <c r="AZ29" s="12">
        <v>6767000000</v>
      </c>
      <c r="BA29" s="12">
        <v>6980000000</v>
      </c>
      <c r="BB29" s="12">
        <v>6656000000</v>
      </c>
      <c r="BC29" s="12">
        <v>6634526000</v>
      </c>
      <c r="BD29" s="12">
        <v>6312691000</v>
      </c>
      <c r="BE29" s="12">
        <v>6378188000</v>
      </c>
      <c r="BF29" s="12">
        <v>6465756000</v>
      </c>
      <c r="BG29" s="12">
        <v>6413988000</v>
      </c>
      <c r="BH29" s="12">
        <v>6654541000</v>
      </c>
      <c r="BI29" s="12">
        <v>6899911000</v>
      </c>
      <c r="BJ29" s="12">
        <v>7142316000</v>
      </c>
      <c r="BK29" s="12">
        <v>7225977000</v>
      </c>
      <c r="BL29" s="12">
        <v>7423465000</v>
      </c>
      <c r="BM29" s="12">
        <v>6887147000</v>
      </c>
      <c r="BN29" s="12">
        <v>7127200000</v>
      </c>
      <c r="BO29" s="12">
        <v>7546000000</v>
      </c>
    </row>
    <row r="30" spans="1:67" x14ac:dyDescent="0.2">
      <c r="A30" s="12" t="s">
        <v>141</v>
      </c>
      <c r="B30" s="12" t="s">
        <v>140</v>
      </c>
      <c r="C30" s="12" t="s">
        <v>978</v>
      </c>
      <c r="D30" s="12" t="s">
        <v>979</v>
      </c>
      <c r="E30" s="12">
        <v>373250000</v>
      </c>
      <c r="F30" s="12">
        <v>406000000</v>
      </c>
      <c r="G30" s="12">
        <v>443916666.66666698</v>
      </c>
      <c r="H30" s="12">
        <v>478000000</v>
      </c>
      <c r="I30" s="12">
        <v>538583333.33333302</v>
      </c>
      <c r="J30" s="12">
        <v>598333333.33333302</v>
      </c>
      <c r="K30" s="12">
        <v>662500000</v>
      </c>
      <c r="L30" s="12">
        <v>748250000</v>
      </c>
      <c r="M30" s="12">
        <v>849333333.33333302</v>
      </c>
      <c r="N30" s="12">
        <v>920333333.33333302</v>
      </c>
      <c r="O30" s="12">
        <v>1006833333.33333</v>
      </c>
      <c r="P30" s="12">
        <v>1084666666.6666701</v>
      </c>
      <c r="Q30" s="12">
        <v>1286153846.1538501</v>
      </c>
      <c r="R30" s="12">
        <v>1263600000</v>
      </c>
      <c r="S30" s="12">
        <v>2101300000</v>
      </c>
      <c r="T30" s="12">
        <v>2405900000</v>
      </c>
      <c r="U30" s="12">
        <v>2733350000</v>
      </c>
      <c r="V30" s="12">
        <v>3229050000</v>
      </c>
      <c r="W30" s="12">
        <v>3760100000</v>
      </c>
      <c r="X30" s="12">
        <v>4510500000</v>
      </c>
      <c r="Y30" s="12">
        <v>4450368036.69452</v>
      </c>
      <c r="Z30" s="12">
        <v>5778487836.5384398</v>
      </c>
      <c r="AA30" s="12">
        <v>5600385567.8075895</v>
      </c>
      <c r="AB30" s="12">
        <v>5414008064.0346098</v>
      </c>
      <c r="AC30" s="12">
        <v>6169304491.5373096</v>
      </c>
      <c r="AD30" s="12">
        <v>5377276656.9045</v>
      </c>
      <c r="AE30" s="12">
        <v>3959383519.7803602</v>
      </c>
      <c r="AF30" s="12">
        <v>4347956337.8333702</v>
      </c>
      <c r="AG30" s="12">
        <v>4597611710.0212698</v>
      </c>
      <c r="AH30" s="12">
        <v>4715973437.3937101</v>
      </c>
      <c r="AI30" s="12">
        <v>4867582597.5232697</v>
      </c>
      <c r="AJ30" s="12">
        <v>5343262457.1022596</v>
      </c>
      <c r="AK30" s="12">
        <v>5643868748.6812601</v>
      </c>
      <c r="AL30" s="12">
        <v>5734699488.8493404</v>
      </c>
      <c r="AM30" s="12">
        <v>5981222858.8272696</v>
      </c>
      <c r="AN30" s="12">
        <v>6715161732.2265797</v>
      </c>
      <c r="AO30" s="12">
        <v>7396949126.3568497</v>
      </c>
      <c r="AP30" s="12">
        <v>7925736821.4503403</v>
      </c>
      <c r="AQ30" s="12">
        <v>8497494652.1254597</v>
      </c>
      <c r="AR30" s="12">
        <v>8285064434.5682602</v>
      </c>
      <c r="AS30" s="12">
        <v>8397855484.7690802</v>
      </c>
      <c r="AT30" s="12">
        <v>8141516928.3948898</v>
      </c>
      <c r="AU30" s="12">
        <v>7905485146.4435101</v>
      </c>
      <c r="AV30" s="12">
        <v>8082399639.5430498</v>
      </c>
      <c r="AW30" s="12">
        <v>8773451751.5121002</v>
      </c>
      <c r="AX30" s="12">
        <v>9549122905.3285198</v>
      </c>
      <c r="AY30" s="12">
        <v>11451844902.221399</v>
      </c>
      <c r="AZ30" s="12">
        <v>13120108008.3477</v>
      </c>
      <c r="BA30" s="12">
        <v>16674276285.895599</v>
      </c>
      <c r="BB30" s="12">
        <v>17339992193.732201</v>
      </c>
      <c r="BC30" s="12">
        <v>19649723722.103401</v>
      </c>
      <c r="BD30" s="12">
        <v>23963164696.591999</v>
      </c>
      <c r="BE30" s="12">
        <v>27084497481.910301</v>
      </c>
      <c r="BF30" s="12">
        <v>30659338885.672901</v>
      </c>
      <c r="BG30" s="12">
        <v>32996188017.3661</v>
      </c>
      <c r="BH30" s="12">
        <v>33000198248.9146</v>
      </c>
      <c r="BI30" s="12">
        <v>33941126193.921902</v>
      </c>
      <c r="BJ30" s="12">
        <v>37508642170.766998</v>
      </c>
      <c r="BK30" s="12">
        <v>40287647930.5355</v>
      </c>
      <c r="BL30" s="12">
        <v>40895322850.940697</v>
      </c>
      <c r="BM30" s="12">
        <v>36629843806.078102</v>
      </c>
      <c r="BN30" s="12">
        <v>40406111695.179001</v>
      </c>
      <c r="BO30" s="12">
        <v>44008282877.960602</v>
      </c>
    </row>
    <row r="31" spans="1:67" x14ac:dyDescent="0.2">
      <c r="A31" s="12" t="s">
        <v>129</v>
      </c>
      <c r="B31" s="12" t="s">
        <v>128</v>
      </c>
      <c r="C31" s="12" t="s">
        <v>978</v>
      </c>
      <c r="D31" s="12" t="s">
        <v>979</v>
      </c>
      <c r="AH31" s="12">
        <v>425595310393.45502</v>
      </c>
      <c r="AI31" s="12">
        <v>461951781818.17999</v>
      </c>
      <c r="AJ31" s="12">
        <v>407337837837.83801</v>
      </c>
      <c r="AK31" s="12">
        <v>390590371724.55798</v>
      </c>
      <c r="AL31" s="12">
        <v>438302216833.00702</v>
      </c>
      <c r="AM31" s="12">
        <v>546229749726.263</v>
      </c>
      <c r="AN31" s="12">
        <v>769333050986.90503</v>
      </c>
      <c r="AO31" s="12">
        <v>850426432991.74194</v>
      </c>
      <c r="AP31" s="12">
        <v>883206179730.46204</v>
      </c>
      <c r="AQ31" s="12">
        <v>863710759256.43506</v>
      </c>
      <c r="AR31" s="12">
        <v>599642024319.53101</v>
      </c>
      <c r="AS31" s="12">
        <v>655448231983.52698</v>
      </c>
      <c r="AT31" s="12">
        <v>559983634798.98096</v>
      </c>
      <c r="AU31" s="12">
        <v>509795273806.71503</v>
      </c>
      <c r="AV31" s="12">
        <v>558233745651.87402</v>
      </c>
      <c r="AW31" s="12">
        <v>669289424806.30701</v>
      </c>
      <c r="AX31" s="12">
        <v>891633839853.10498</v>
      </c>
      <c r="AY31" s="12">
        <v>1107626541710.74</v>
      </c>
      <c r="AZ31" s="12">
        <v>1397114486471.3799</v>
      </c>
      <c r="BA31" s="12">
        <v>1695855083552.05</v>
      </c>
      <c r="BB31" s="12">
        <v>1666996438681.46</v>
      </c>
      <c r="BC31" s="12">
        <v>2208837745214.23</v>
      </c>
      <c r="BD31" s="12">
        <v>2616156223977.4702</v>
      </c>
      <c r="BE31" s="12">
        <v>2465227803011.5698</v>
      </c>
      <c r="BF31" s="12">
        <v>2472819535742.73</v>
      </c>
      <c r="BG31" s="12">
        <v>2456043727198.8501</v>
      </c>
      <c r="BH31" s="12">
        <v>1802212206904.6799</v>
      </c>
      <c r="BI31" s="12">
        <v>1795693482652.52</v>
      </c>
      <c r="BJ31" s="12">
        <v>2063514977334.3201</v>
      </c>
      <c r="BK31" s="12">
        <v>1916933898038.3601</v>
      </c>
      <c r="BL31" s="12">
        <v>1873288205186.45</v>
      </c>
      <c r="BM31" s="12">
        <v>1476107231194.1101</v>
      </c>
      <c r="BN31" s="12">
        <v>1649622821885.1399</v>
      </c>
      <c r="BO31" s="12">
        <v>1920095779022.73</v>
      </c>
    </row>
    <row r="32" spans="1:67" x14ac:dyDescent="0.2">
      <c r="A32" s="12" t="s">
        <v>65</v>
      </c>
      <c r="B32" s="12" t="s">
        <v>64</v>
      </c>
      <c r="C32" s="12" t="s">
        <v>978</v>
      </c>
      <c r="D32" s="12" t="s">
        <v>979</v>
      </c>
      <c r="S32" s="12">
        <v>311809337.47321302</v>
      </c>
      <c r="T32" s="12">
        <v>402178605.01955402</v>
      </c>
      <c r="U32" s="12">
        <v>435911268.58968002</v>
      </c>
      <c r="V32" s="12">
        <v>495097667.92904103</v>
      </c>
      <c r="W32" s="12">
        <v>552883707.05513799</v>
      </c>
      <c r="X32" s="12">
        <v>670362452.14537895</v>
      </c>
      <c r="Y32" s="12">
        <v>1012280614.52792</v>
      </c>
      <c r="Z32" s="12">
        <v>1114204743.2009101</v>
      </c>
      <c r="AA32" s="12">
        <v>1163923830.35847</v>
      </c>
      <c r="AB32" s="12">
        <v>1236016506.7369399</v>
      </c>
      <c r="AC32" s="12">
        <v>1346890071.09829</v>
      </c>
      <c r="AD32" s="12">
        <v>1409536120.91682</v>
      </c>
      <c r="AE32" s="12">
        <v>1547755183.2148399</v>
      </c>
      <c r="AF32" s="12">
        <v>1704370307.7611499</v>
      </c>
      <c r="AG32" s="12">
        <v>1812757917.7646301</v>
      </c>
      <c r="AH32" s="12">
        <v>2006165166.8075399</v>
      </c>
      <c r="AI32" s="12">
        <v>2012131457.2664399</v>
      </c>
      <c r="AJ32" s="12">
        <v>2020583702.08323</v>
      </c>
      <c r="AK32" s="12">
        <v>1957000000</v>
      </c>
      <c r="AL32" s="12">
        <v>2063342117.0387299</v>
      </c>
      <c r="AM32" s="12">
        <v>2151344901.30761</v>
      </c>
      <c r="AN32" s="12">
        <v>2216974096.3555899</v>
      </c>
      <c r="AO32" s="12">
        <v>2363645403.4703898</v>
      </c>
      <c r="AP32" s="12">
        <v>2498384129.6673799</v>
      </c>
      <c r="AQ32" s="12">
        <v>2817083478.3473401</v>
      </c>
      <c r="AR32" s="12">
        <v>2951822204.5443201</v>
      </c>
      <c r="AS32" s="12">
        <v>3059500000</v>
      </c>
      <c r="AT32" s="12">
        <v>3054500000</v>
      </c>
      <c r="AU32" s="12">
        <v>3106500000</v>
      </c>
      <c r="AV32" s="12">
        <v>3209500000</v>
      </c>
      <c r="AW32" s="12">
        <v>3444500000</v>
      </c>
      <c r="AX32" s="12">
        <v>3819500000</v>
      </c>
      <c r="AY32" s="12">
        <v>4217450000</v>
      </c>
      <c r="AZ32" s="12">
        <v>4674000000</v>
      </c>
      <c r="BA32" s="12">
        <v>4785250000</v>
      </c>
      <c r="BB32" s="12">
        <v>4465500000</v>
      </c>
      <c r="BC32" s="12">
        <v>4531150000</v>
      </c>
      <c r="BD32" s="12">
        <v>4656400000</v>
      </c>
      <c r="BE32" s="12">
        <v>4613850000</v>
      </c>
      <c r="BF32" s="12">
        <v>4685550000</v>
      </c>
      <c r="BG32" s="12">
        <v>4707600000</v>
      </c>
      <c r="BH32" s="12">
        <v>4734000000</v>
      </c>
      <c r="BI32" s="12">
        <v>4843300000</v>
      </c>
      <c r="BJ32" s="12">
        <v>4992300000</v>
      </c>
      <c r="BK32" s="12">
        <v>5110250000</v>
      </c>
      <c r="BL32" s="12">
        <v>5341100000</v>
      </c>
      <c r="BM32" s="12">
        <v>4738800000</v>
      </c>
      <c r="BN32" s="12">
        <v>4923100000</v>
      </c>
      <c r="BO32" s="12">
        <v>5699950000</v>
      </c>
    </row>
    <row r="33" spans="1:67" x14ac:dyDescent="0.2">
      <c r="A33" s="12" t="s">
        <v>235</v>
      </c>
      <c r="B33" s="12" t="s">
        <v>234</v>
      </c>
      <c r="C33" s="12" t="s">
        <v>978</v>
      </c>
      <c r="D33" s="12" t="s">
        <v>979</v>
      </c>
      <c r="J33" s="12">
        <v>114039500.591268</v>
      </c>
      <c r="K33" s="12">
        <v>132757528.044374</v>
      </c>
      <c r="L33" s="12">
        <v>139029537.243321</v>
      </c>
      <c r="M33" s="12">
        <v>160818235.86674601</v>
      </c>
      <c r="N33" s="12">
        <v>161210236.44168001</v>
      </c>
      <c r="O33" s="12">
        <v>179078929.315763</v>
      </c>
      <c r="P33" s="12">
        <v>197525767.79173499</v>
      </c>
      <c r="Q33" s="12">
        <v>270822782.02667397</v>
      </c>
      <c r="R33" s="12">
        <v>433095526.68613601</v>
      </c>
      <c r="S33" s="12">
        <v>1073591623.99918</v>
      </c>
      <c r="T33" s="12">
        <v>1168304305.6551299</v>
      </c>
      <c r="U33" s="12">
        <v>1423037167.0871699</v>
      </c>
      <c r="V33" s="12">
        <v>1732721160.94122</v>
      </c>
      <c r="W33" s="12">
        <v>1941579358.18648</v>
      </c>
      <c r="X33" s="12">
        <v>2803834158.4818602</v>
      </c>
      <c r="Y33" s="12">
        <v>4928806542.8487101</v>
      </c>
      <c r="Z33" s="12">
        <v>4366230382.8480396</v>
      </c>
      <c r="AA33" s="12">
        <v>4264202520.99859</v>
      </c>
      <c r="AB33" s="12">
        <v>3844632166.77315</v>
      </c>
      <c r="AC33" s="12">
        <v>3782553233.98105</v>
      </c>
      <c r="AD33" s="12">
        <v>3523532486.42138</v>
      </c>
      <c r="AE33" s="12">
        <v>2358574402.60639</v>
      </c>
      <c r="AF33" s="12">
        <v>2754485672.4864302</v>
      </c>
      <c r="AG33" s="12">
        <v>2690684124.8742199</v>
      </c>
      <c r="AH33" s="12">
        <v>2985532273.1659098</v>
      </c>
      <c r="AI33" s="12">
        <v>3520487626.9838901</v>
      </c>
      <c r="AJ33" s="12">
        <v>3701774188.8802099</v>
      </c>
      <c r="AK33" s="12">
        <v>4183632940.3849201</v>
      </c>
      <c r="AL33" s="12">
        <v>4105729020.6468501</v>
      </c>
      <c r="AM33" s="12">
        <v>4087220218.8754501</v>
      </c>
      <c r="AN33" s="12">
        <v>4734103536.4670601</v>
      </c>
      <c r="AO33" s="12">
        <v>5115454089.6328497</v>
      </c>
      <c r="AP33" s="12">
        <v>5197311972.0690804</v>
      </c>
      <c r="AQ33" s="12">
        <v>4051142386.3021202</v>
      </c>
      <c r="AR33" s="12">
        <v>4600116699.1257</v>
      </c>
      <c r="AS33" s="12">
        <v>6001282104.0822802</v>
      </c>
      <c r="AT33" s="12">
        <v>5601018684.2497396</v>
      </c>
      <c r="AU33" s="12">
        <v>5843368267.8539104</v>
      </c>
      <c r="AV33" s="12">
        <v>6557397070.2274103</v>
      </c>
      <c r="AW33" s="12">
        <v>7872202803.4087696</v>
      </c>
      <c r="AX33" s="12">
        <v>9531420027.7938499</v>
      </c>
      <c r="AY33" s="12">
        <v>11470464771.013</v>
      </c>
      <c r="AZ33" s="12">
        <v>12247677993.924801</v>
      </c>
      <c r="BA33" s="12">
        <v>14393434224.759701</v>
      </c>
      <c r="BB33" s="12">
        <v>10732595016.1182</v>
      </c>
      <c r="BC33" s="12">
        <v>13707280259.976299</v>
      </c>
      <c r="BD33" s="12">
        <v>18525128526.376598</v>
      </c>
      <c r="BE33" s="12">
        <v>19048443340.773201</v>
      </c>
      <c r="BF33" s="12">
        <v>18094321616.795898</v>
      </c>
      <c r="BG33" s="12">
        <v>17097802752.872801</v>
      </c>
      <c r="BH33" s="12">
        <v>12930291487.958099</v>
      </c>
      <c r="BI33" s="12">
        <v>11400466356.389799</v>
      </c>
      <c r="BJ33" s="12">
        <v>12128183904.4501</v>
      </c>
      <c r="BK33" s="12">
        <v>13566937673.7966</v>
      </c>
      <c r="BL33" s="12">
        <v>13469235364.703199</v>
      </c>
      <c r="BM33" s="12">
        <v>12005799653.9835</v>
      </c>
      <c r="BN33" s="12">
        <v>14006496617.445801</v>
      </c>
      <c r="BO33" s="12">
        <v>16681536466.7183</v>
      </c>
    </row>
    <row r="34" spans="1:67" x14ac:dyDescent="0.2">
      <c r="A34" s="12" t="s">
        <v>189</v>
      </c>
      <c r="B34" s="12" t="s">
        <v>188</v>
      </c>
      <c r="C34" s="12" t="s">
        <v>978</v>
      </c>
      <c r="D34" s="12" t="s">
        <v>979</v>
      </c>
      <c r="Y34" s="12">
        <v>128669200.89101499</v>
      </c>
      <c r="Z34" s="12">
        <v>139174178.05554101</v>
      </c>
      <c r="AA34" s="12">
        <v>141439317.40984699</v>
      </c>
      <c r="AB34" s="12">
        <v>156704289.90371001</v>
      </c>
      <c r="AC34" s="12">
        <v>160423493.962596</v>
      </c>
      <c r="AD34" s="12">
        <v>163288815.320869</v>
      </c>
      <c r="AE34" s="12">
        <v>191218115.48848501</v>
      </c>
      <c r="AF34" s="12">
        <v>242742766.35420299</v>
      </c>
      <c r="AG34" s="12">
        <v>272298066.54167402</v>
      </c>
      <c r="AH34" s="12">
        <v>264798626.16252199</v>
      </c>
      <c r="AI34" s="12">
        <v>287765007.10715002</v>
      </c>
      <c r="AJ34" s="12">
        <v>240294286.01592499</v>
      </c>
      <c r="AK34" s="12">
        <v>240233531.16046399</v>
      </c>
      <c r="AL34" s="12">
        <v>225973692.8371</v>
      </c>
      <c r="AM34" s="12">
        <v>258954708.04853299</v>
      </c>
      <c r="AN34" s="12">
        <v>290490983.81577802</v>
      </c>
      <c r="AO34" s="12">
        <v>303408345.62007803</v>
      </c>
      <c r="AP34" s="12">
        <v>352229076.707627</v>
      </c>
      <c r="AQ34" s="12">
        <v>363458380.90334201</v>
      </c>
      <c r="AR34" s="12">
        <v>399311199.50775999</v>
      </c>
      <c r="AS34" s="12">
        <v>424448931.00724798</v>
      </c>
      <c r="AT34" s="12">
        <v>461479581.813528</v>
      </c>
      <c r="AU34" s="12">
        <v>520846133.51333898</v>
      </c>
      <c r="AV34" s="12">
        <v>603999374.53958797</v>
      </c>
      <c r="AW34" s="12">
        <v>682577068.50801098</v>
      </c>
      <c r="AX34" s="12">
        <v>796938571.96064198</v>
      </c>
      <c r="AY34" s="12">
        <v>874989741.101421</v>
      </c>
      <c r="AZ34" s="12">
        <v>1168307584.21345</v>
      </c>
      <c r="BA34" s="12">
        <v>1227809270.44945</v>
      </c>
      <c r="BB34" s="12">
        <v>1234015133.1052499</v>
      </c>
      <c r="BC34" s="12">
        <v>1547990911.56653</v>
      </c>
      <c r="BD34" s="12">
        <v>1777102573.2397299</v>
      </c>
      <c r="BE34" s="12">
        <v>1781280181.5543101</v>
      </c>
      <c r="BF34" s="12">
        <v>1756214316.4138501</v>
      </c>
      <c r="BG34" s="12">
        <v>1907090375.9777601</v>
      </c>
      <c r="BH34" s="12">
        <v>2003596838.7801299</v>
      </c>
      <c r="BI34" s="12">
        <v>2158971711.31564</v>
      </c>
      <c r="BJ34" s="12">
        <v>2591358114.4837599</v>
      </c>
      <c r="BK34" s="12">
        <v>2583335723.83252</v>
      </c>
      <c r="BL34" s="12">
        <v>2735683408.71698</v>
      </c>
      <c r="BM34" s="12">
        <v>2457604042.7636399</v>
      </c>
      <c r="BN34" s="12">
        <v>2768003872.5406499</v>
      </c>
    </row>
    <row r="35" spans="1:67" x14ac:dyDescent="0.2">
      <c r="A35" s="12" t="s">
        <v>263</v>
      </c>
      <c r="B35" s="12" t="s">
        <v>262</v>
      </c>
      <c r="C35" s="12" t="s">
        <v>978</v>
      </c>
      <c r="D35" s="12" t="s">
        <v>979</v>
      </c>
      <c r="E35" s="12">
        <v>30411413.655282799</v>
      </c>
      <c r="F35" s="12">
        <v>32902612.866485499</v>
      </c>
      <c r="G35" s="12">
        <v>35644956.6430429</v>
      </c>
      <c r="H35" s="12">
        <v>38091842.854686297</v>
      </c>
      <c r="I35" s="12">
        <v>41616347.790686503</v>
      </c>
      <c r="J35" s="12">
        <v>45788696.334391497</v>
      </c>
      <c r="K35" s="12">
        <v>51465655.392108299</v>
      </c>
      <c r="L35" s="12">
        <v>58642354.089672998</v>
      </c>
      <c r="M35" s="12">
        <v>66248441.418246597</v>
      </c>
      <c r="N35" s="12">
        <v>77361546.506753698</v>
      </c>
      <c r="O35" s="12">
        <v>96243233.660983697</v>
      </c>
      <c r="P35" s="12">
        <v>127448613.505061</v>
      </c>
      <c r="Q35" s="12">
        <v>164460914.97720101</v>
      </c>
      <c r="R35" s="12">
        <v>244124164.042218</v>
      </c>
      <c r="S35" s="12">
        <v>306044207.53020298</v>
      </c>
      <c r="T35" s="12">
        <v>355168571.53675097</v>
      </c>
      <c r="U35" s="12">
        <v>372025093.00627297</v>
      </c>
      <c r="V35" s="12">
        <v>451624780.27459699</v>
      </c>
      <c r="W35" s="12">
        <v>590407374.44711602</v>
      </c>
      <c r="X35" s="12">
        <v>819870258.78305304</v>
      </c>
      <c r="Y35" s="12">
        <v>1060889703.75374</v>
      </c>
      <c r="Z35" s="12">
        <v>1073812830.3005199</v>
      </c>
      <c r="AA35" s="12">
        <v>1014945695.71927</v>
      </c>
      <c r="AB35" s="12">
        <v>1172230396.5809901</v>
      </c>
      <c r="AC35" s="12">
        <v>1240822167.43571</v>
      </c>
      <c r="AD35" s="12">
        <v>1114783342.71539</v>
      </c>
      <c r="AE35" s="12">
        <v>1392602163.53829</v>
      </c>
      <c r="AF35" s="12">
        <v>1965226890.0455699</v>
      </c>
      <c r="AG35" s="12">
        <v>2644554158.7279401</v>
      </c>
      <c r="AH35" s="12">
        <v>3083822112.0202298</v>
      </c>
      <c r="AI35" s="12">
        <v>3790636324.4477501</v>
      </c>
      <c r="AJ35" s="12">
        <v>3942876703.4518399</v>
      </c>
      <c r="AK35" s="12">
        <v>4146464586.6167402</v>
      </c>
      <c r="AL35" s="12">
        <v>4160129174.7056899</v>
      </c>
      <c r="AM35" s="12">
        <v>4259259604.15623</v>
      </c>
      <c r="AN35" s="12">
        <v>4730599121.9270401</v>
      </c>
      <c r="AO35" s="12">
        <v>4847757217.7581501</v>
      </c>
      <c r="AP35" s="12">
        <v>5020265626.6648903</v>
      </c>
      <c r="AQ35" s="12">
        <v>4790481509.1767902</v>
      </c>
      <c r="AR35" s="12">
        <v>5484263346.8810501</v>
      </c>
      <c r="AS35" s="12">
        <v>5788329609.1575499</v>
      </c>
      <c r="AT35" s="12">
        <v>5489608299.6644497</v>
      </c>
      <c r="AU35" s="12">
        <v>5438863982.88692</v>
      </c>
      <c r="AV35" s="12">
        <v>7511582173.3772402</v>
      </c>
      <c r="AW35" s="12">
        <v>8957467706.5354004</v>
      </c>
      <c r="AX35" s="12">
        <v>9918907108.0970192</v>
      </c>
      <c r="AY35" s="12">
        <v>9919158482.4108505</v>
      </c>
      <c r="AZ35" s="12">
        <v>10567270655.502701</v>
      </c>
      <c r="BA35" s="12">
        <v>10730829116.4105</v>
      </c>
      <c r="BB35" s="12">
        <v>10118459242.3183</v>
      </c>
      <c r="BC35" s="12">
        <v>12637273429.1339</v>
      </c>
      <c r="BD35" s="12">
        <v>15110643612.172899</v>
      </c>
      <c r="BE35" s="12">
        <v>13907464500.148899</v>
      </c>
      <c r="BF35" s="12">
        <v>14271738933.204201</v>
      </c>
      <c r="BG35" s="12">
        <v>15470088500.7414</v>
      </c>
      <c r="BH35" s="12">
        <v>13530748844.504999</v>
      </c>
      <c r="BI35" s="12">
        <v>15082636722.902</v>
      </c>
      <c r="BJ35" s="12">
        <v>16105156375.533001</v>
      </c>
      <c r="BK35" s="12">
        <v>17031943186.1353</v>
      </c>
      <c r="BL35" s="12">
        <v>16725908666.846201</v>
      </c>
      <c r="BM35" s="12">
        <v>14960291541.176001</v>
      </c>
      <c r="BN35" s="12">
        <v>18737066311.159698</v>
      </c>
      <c r="BO35" s="12">
        <v>20355541962.8512</v>
      </c>
    </row>
    <row r="36" spans="1:67" x14ac:dyDescent="0.2">
      <c r="A36" s="12" t="s">
        <v>335</v>
      </c>
      <c r="B36" s="12" t="s">
        <v>334</v>
      </c>
      <c r="C36" s="12" t="s">
        <v>978</v>
      </c>
      <c r="D36" s="12" t="s">
        <v>979</v>
      </c>
      <c r="E36" s="12">
        <v>112155598.492157</v>
      </c>
      <c r="F36" s="12">
        <v>123134583.463559</v>
      </c>
      <c r="G36" s="12">
        <v>124482773.83306</v>
      </c>
      <c r="H36" s="12">
        <v>129379123.76305</v>
      </c>
      <c r="I36" s="12">
        <v>142025078.73575401</v>
      </c>
      <c r="J36" s="12">
        <v>150574795.409863</v>
      </c>
      <c r="K36" s="12">
        <v>157930018.09108701</v>
      </c>
      <c r="L36" s="12">
        <v>163820513.56243199</v>
      </c>
      <c r="M36" s="12">
        <v>191767441.604577</v>
      </c>
      <c r="N36" s="12">
        <v>188039210.13037899</v>
      </c>
      <c r="O36" s="12">
        <v>189106529.20701101</v>
      </c>
      <c r="P36" s="12">
        <v>201450799.82635</v>
      </c>
      <c r="Q36" s="12">
        <v>230317883.36443001</v>
      </c>
      <c r="R36" s="12">
        <v>271183082.04306197</v>
      </c>
      <c r="S36" s="12">
        <v>281398705.57059598</v>
      </c>
      <c r="T36" s="12">
        <v>378660016.26593602</v>
      </c>
      <c r="U36" s="12">
        <v>451152461.31276</v>
      </c>
      <c r="V36" s="12">
        <v>507298147.52653903</v>
      </c>
      <c r="W36" s="12">
        <v>610578631.99298298</v>
      </c>
      <c r="X36" s="12">
        <v>700764747.75646198</v>
      </c>
      <c r="Y36" s="12">
        <v>797048198.53487504</v>
      </c>
      <c r="Z36" s="12">
        <v>694803622.89896595</v>
      </c>
      <c r="AA36" s="12">
        <v>748312390.75660598</v>
      </c>
      <c r="AB36" s="12">
        <v>658679332.68133104</v>
      </c>
      <c r="AC36" s="12">
        <v>637820670.29960406</v>
      </c>
      <c r="AD36" s="12">
        <v>864849836.28619301</v>
      </c>
      <c r="AE36" s="12">
        <v>1122265013.4200399</v>
      </c>
      <c r="AF36" s="12">
        <v>1200991977.8080101</v>
      </c>
      <c r="AG36" s="12">
        <v>1264899287.51261</v>
      </c>
      <c r="AH36" s="12">
        <v>1233930280.9172399</v>
      </c>
      <c r="AI36" s="12">
        <v>1440711459.1696701</v>
      </c>
      <c r="AJ36" s="12">
        <v>1377374986.58709</v>
      </c>
      <c r="AK36" s="12">
        <v>1411917553.1243601</v>
      </c>
      <c r="AL36" s="12">
        <v>1278781261.5592799</v>
      </c>
      <c r="AM36" s="12">
        <v>851174356.78173697</v>
      </c>
      <c r="AN36" s="12">
        <v>1115389673.6919701</v>
      </c>
      <c r="AO36" s="12">
        <v>1007791127.09913</v>
      </c>
      <c r="AP36" s="12">
        <v>937741513.01535201</v>
      </c>
      <c r="AQ36" s="12">
        <v>967338389.65057802</v>
      </c>
      <c r="AR36" s="12">
        <v>999477510.68663204</v>
      </c>
      <c r="AS36" s="12">
        <v>916777282.69165897</v>
      </c>
      <c r="AT36" s="12">
        <v>932648604.75195396</v>
      </c>
      <c r="AU36" s="12">
        <v>996068144.88488901</v>
      </c>
      <c r="AV36" s="12">
        <v>1142315522.53864</v>
      </c>
      <c r="AW36" s="12">
        <v>1272360517.32373</v>
      </c>
      <c r="AX36" s="12">
        <v>1337894378.7374301</v>
      </c>
      <c r="AY36" s="12">
        <v>1461859762.33459</v>
      </c>
      <c r="AZ36" s="12">
        <v>1699811294.9493501</v>
      </c>
      <c r="BA36" s="12">
        <v>1993407888.4983799</v>
      </c>
      <c r="BB36" s="12">
        <v>2067381665.25454</v>
      </c>
      <c r="BC36" s="12">
        <v>2142591540.4006801</v>
      </c>
      <c r="BD36" s="12">
        <v>2437982705.1209302</v>
      </c>
      <c r="BE36" s="12">
        <v>2510126512.2283101</v>
      </c>
      <c r="BF36" s="12">
        <v>1691544110.18543</v>
      </c>
      <c r="BG36" s="12">
        <v>1894813389.40325</v>
      </c>
      <c r="BH36" s="12">
        <v>1695825714.1928201</v>
      </c>
      <c r="BI36" s="12">
        <v>1825018144.6559501</v>
      </c>
      <c r="BJ36" s="12">
        <v>2072349972.6817999</v>
      </c>
      <c r="BK36" s="12">
        <v>2220979146.1124101</v>
      </c>
      <c r="BL36" s="12">
        <v>2221301351.4391799</v>
      </c>
      <c r="BM36" s="12">
        <v>2326720900.3804698</v>
      </c>
      <c r="BN36" s="12">
        <v>2516498412.46384</v>
      </c>
      <c r="BO36" s="12">
        <v>2382618615.0169401</v>
      </c>
    </row>
    <row r="37" spans="1:67" x14ac:dyDescent="0.2">
      <c r="A37" s="12" t="s">
        <v>33</v>
      </c>
      <c r="B37" s="12" t="s">
        <v>32</v>
      </c>
      <c r="C37" s="12" t="s">
        <v>978</v>
      </c>
      <c r="D37" s="12" t="s">
        <v>979</v>
      </c>
      <c r="E37" s="12">
        <v>40461721692.646797</v>
      </c>
      <c r="F37" s="12">
        <v>40934952063.9468</v>
      </c>
      <c r="G37" s="12">
        <v>42227447631.915901</v>
      </c>
      <c r="H37" s="12">
        <v>45029988561.212402</v>
      </c>
      <c r="I37" s="12">
        <v>49377522896.703003</v>
      </c>
      <c r="J37" s="12">
        <v>54515179580.714798</v>
      </c>
      <c r="K37" s="12">
        <v>61088384036.651497</v>
      </c>
      <c r="L37" s="12">
        <v>65668655501.125397</v>
      </c>
      <c r="M37" s="12">
        <v>71829810519.895493</v>
      </c>
      <c r="N37" s="12">
        <v>79148411661.690201</v>
      </c>
      <c r="O37" s="12">
        <v>88192257632.309296</v>
      </c>
      <c r="P37" s="12">
        <v>99606454743.513596</v>
      </c>
      <c r="Q37" s="12">
        <v>113463848873.62399</v>
      </c>
      <c r="R37" s="12">
        <v>131764343565.64301</v>
      </c>
      <c r="S37" s="12">
        <v>160949188139.05899</v>
      </c>
      <c r="T37" s="12">
        <v>174419757176.56299</v>
      </c>
      <c r="U37" s="12">
        <v>207271612576.065</v>
      </c>
      <c r="V37" s="12">
        <v>212325176304.65399</v>
      </c>
      <c r="W37" s="12">
        <v>219369542386.254</v>
      </c>
      <c r="X37" s="12">
        <v>243891124295.715</v>
      </c>
      <c r="Y37" s="12">
        <v>274776566028.05301</v>
      </c>
      <c r="Z37" s="12">
        <v>307246642755.85901</v>
      </c>
      <c r="AA37" s="12">
        <v>314647807408.60797</v>
      </c>
      <c r="AB37" s="12">
        <v>341866277182.73297</v>
      </c>
      <c r="AC37" s="12">
        <v>356718400123.54303</v>
      </c>
      <c r="AD37" s="12">
        <v>366186012449.65198</v>
      </c>
      <c r="AE37" s="12">
        <v>379006836991.724</v>
      </c>
      <c r="AF37" s="12">
        <v>433134238310.70898</v>
      </c>
      <c r="AG37" s="12">
        <v>509380027626.55402</v>
      </c>
      <c r="AH37" s="12">
        <v>567211993243.24304</v>
      </c>
      <c r="AI37" s="12">
        <v>596075591360.98706</v>
      </c>
      <c r="AJ37" s="12">
        <v>612527712315.61499</v>
      </c>
      <c r="AK37" s="12">
        <v>594387358318.85498</v>
      </c>
      <c r="AL37" s="12">
        <v>579053561739.40002</v>
      </c>
      <c r="AM37" s="12">
        <v>579944346807.26404</v>
      </c>
      <c r="AN37" s="12">
        <v>605961090061.20703</v>
      </c>
      <c r="AO37" s="12">
        <v>630607994132.74695</v>
      </c>
      <c r="AP37" s="12">
        <v>654986999855.55396</v>
      </c>
      <c r="AQ37" s="12">
        <v>634000000000</v>
      </c>
      <c r="AR37" s="12">
        <v>678412196271.11804</v>
      </c>
      <c r="AS37" s="12">
        <v>744773415931.58704</v>
      </c>
      <c r="AT37" s="12">
        <v>738981792355.37195</v>
      </c>
      <c r="AU37" s="12">
        <v>760649334098.005</v>
      </c>
      <c r="AV37" s="12">
        <v>895540646634.78699</v>
      </c>
      <c r="AW37" s="12">
        <v>1026690238278.25</v>
      </c>
      <c r="AX37" s="12">
        <v>1173108598778.6799</v>
      </c>
      <c r="AY37" s="12">
        <v>1319264809590.97</v>
      </c>
      <c r="AZ37" s="12">
        <v>1468820407783.26</v>
      </c>
      <c r="BA37" s="12">
        <v>1552989690721.6499</v>
      </c>
      <c r="BB37" s="12">
        <v>1374625142157.29</v>
      </c>
      <c r="BC37" s="12">
        <v>1617343367486.26</v>
      </c>
      <c r="BD37" s="12">
        <v>1793326630174.52</v>
      </c>
      <c r="BE37" s="12">
        <v>1828366481521.6001</v>
      </c>
      <c r="BF37" s="12">
        <v>1846597421834.98</v>
      </c>
      <c r="BG37" s="12">
        <v>1805749878439.9399</v>
      </c>
      <c r="BH37" s="12">
        <v>1556508816217.1399</v>
      </c>
      <c r="BI37" s="12">
        <v>1527994741907.4299</v>
      </c>
      <c r="BJ37" s="12">
        <v>1649265644244.0901</v>
      </c>
      <c r="BK37" s="12">
        <v>1725329192783.02</v>
      </c>
      <c r="BL37" s="12">
        <v>1743725183672.52</v>
      </c>
      <c r="BM37" s="12">
        <v>1655684730000.1899</v>
      </c>
      <c r="BN37" s="12">
        <v>2007472181464.1499</v>
      </c>
      <c r="BO37" s="12">
        <v>2161483369422.01</v>
      </c>
    </row>
    <row r="38" spans="1:67" x14ac:dyDescent="0.2">
      <c r="A38" s="12" t="s">
        <v>988</v>
      </c>
      <c r="B38" s="12" t="s">
        <v>989</v>
      </c>
      <c r="C38" s="12" t="s">
        <v>978</v>
      </c>
      <c r="D38" s="12" t="s">
        <v>979</v>
      </c>
      <c r="AI38" s="12">
        <v>255342985523.694</v>
      </c>
      <c r="AJ38" s="12">
        <v>242589999851.319</v>
      </c>
      <c r="AK38" s="12">
        <v>260007192125.90201</v>
      </c>
      <c r="AL38" s="12">
        <v>274155699209.854</v>
      </c>
      <c r="AM38" s="12">
        <v>310993103188.36499</v>
      </c>
      <c r="AN38" s="12">
        <v>393418186744.05902</v>
      </c>
      <c r="AO38" s="12">
        <v>416195415174.039</v>
      </c>
      <c r="AP38" s="12">
        <v>410169356182.41699</v>
      </c>
      <c r="AQ38" s="12">
        <v>448894516201.30499</v>
      </c>
      <c r="AR38" s="12">
        <v>435065154081.64697</v>
      </c>
      <c r="AS38" s="12">
        <v>428597869265.83502</v>
      </c>
      <c r="AT38" s="12">
        <v>468614929760.09698</v>
      </c>
      <c r="AU38" s="12">
        <v>528073644706.22101</v>
      </c>
      <c r="AV38" s="12">
        <v>634392755114.96399</v>
      </c>
      <c r="AW38" s="12">
        <v>763090521706.34302</v>
      </c>
      <c r="AX38" s="12">
        <v>886071992246.42603</v>
      </c>
      <c r="AY38" s="12">
        <v>1001637168216.98</v>
      </c>
      <c r="AZ38" s="12">
        <v>1265564800459.0901</v>
      </c>
      <c r="BA38" s="12">
        <v>1530711739102.6201</v>
      </c>
      <c r="BB38" s="12">
        <v>1289846065408.4399</v>
      </c>
      <c r="BC38" s="12">
        <v>1316531033893.1201</v>
      </c>
      <c r="BD38" s="12">
        <v>1454696041345.1699</v>
      </c>
      <c r="BE38" s="12">
        <v>1358996129796.77</v>
      </c>
      <c r="BF38" s="12">
        <v>1417459171481.04</v>
      </c>
      <c r="BG38" s="12">
        <v>1463675951157.0701</v>
      </c>
      <c r="BH38" s="12">
        <v>1293469512790.95</v>
      </c>
      <c r="BI38" s="12">
        <v>1316594480887.55</v>
      </c>
      <c r="BJ38" s="12">
        <v>1461306924995.73</v>
      </c>
      <c r="BK38" s="12">
        <v>1648634467771.53</v>
      </c>
      <c r="BL38" s="12">
        <v>1674210532695.96</v>
      </c>
      <c r="BM38" s="12">
        <v>1665327992740.77</v>
      </c>
      <c r="BN38" s="12">
        <v>1908002281033.51</v>
      </c>
      <c r="BO38" s="12">
        <v>1944198197077.5701</v>
      </c>
    </row>
    <row r="39" spans="1:67" x14ac:dyDescent="0.2">
      <c r="A39" s="12" t="s">
        <v>5</v>
      </c>
      <c r="B39" s="12" t="s">
        <v>4</v>
      </c>
      <c r="C39" s="12" t="s">
        <v>978</v>
      </c>
      <c r="D39" s="12" t="s">
        <v>979</v>
      </c>
      <c r="E39" s="12">
        <v>9522746719.2161407</v>
      </c>
      <c r="F39" s="12">
        <v>10712712465.0522</v>
      </c>
      <c r="G39" s="12">
        <v>11879982758.561899</v>
      </c>
      <c r="H39" s="12">
        <v>13063643795.788401</v>
      </c>
      <c r="I39" s="12">
        <v>14480556571.5476</v>
      </c>
      <c r="J39" s="12">
        <v>15346741669.7575</v>
      </c>
      <c r="K39" s="12">
        <v>16480058704.8531</v>
      </c>
      <c r="L39" s="12">
        <v>17740013179.259998</v>
      </c>
      <c r="M39" s="12">
        <v>18942729779.099998</v>
      </c>
      <c r="N39" s="12">
        <v>20524886616.478901</v>
      </c>
      <c r="Y39" s="12">
        <v>122557843886.13699</v>
      </c>
      <c r="Z39" s="12">
        <v>112244805518.786</v>
      </c>
      <c r="AA39" s="12">
        <v>115043365512.48599</v>
      </c>
      <c r="AB39" s="12">
        <v>114634358534.61</v>
      </c>
      <c r="AC39" s="12">
        <v>109455312167.511</v>
      </c>
      <c r="AD39" s="12">
        <v>110980314191.52699</v>
      </c>
      <c r="AE39" s="12">
        <v>159089921062.87201</v>
      </c>
      <c r="AF39" s="12">
        <v>199236370037.55399</v>
      </c>
      <c r="AG39" s="12">
        <v>215540625298.98199</v>
      </c>
      <c r="AH39" s="12">
        <v>208105846934.409</v>
      </c>
      <c r="AI39" s="12">
        <v>265763573999.42401</v>
      </c>
      <c r="AJ39" s="12">
        <v>268901693863.319</v>
      </c>
      <c r="AK39" s="12">
        <v>279921425828.474</v>
      </c>
      <c r="AL39" s="12">
        <v>272237527070.92599</v>
      </c>
      <c r="AM39" s="12">
        <v>301375055202.164</v>
      </c>
      <c r="AN39" s="12">
        <v>352835806342.495</v>
      </c>
      <c r="AO39" s="12">
        <v>340103959546.92603</v>
      </c>
      <c r="AP39" s="12">
        <v>294788198856.198</v>
      </c>
      <c r="AQ39" s="12">
        <v>303459014346.80603</v>
      </c>
      <c r="AR39" s="12">
        <v>297873643323.12598</v>
      </c>
      <c r="AS39" s="12">
        <v>279216033870.20398</v>
      </c>
      <c r="AT39" s="12">
        <v>286582672434.22601</v>
      </c>
      <c r="AU39" s="12">
        <v>309301422430.38599</v>
      </c>
      <c r="AV39" s="12">
        <v>362075086507.76001</v>
      </c>
      <c r="AW39" s="12">
        <v>403912891033.37402</v>
      </c>
      <c r="AX39" s="12">
        <v>418284865884.99799</v>
      </c>
      <c r="AY39" s="12">
        <v>441634672196.52301</v>
      </c>
      <c r="AZ39" s="12">
        <v>490740715594.802</v>
      </c>
      <c r="BA39" s="12">
        <v>567267767519.15796</v>
      </c>
      <c r="BB39" s="12">
        <v>554212916092.271</v>
      </c>
      <c r="BC39" s="12">
        <v>598851028906.57996</v>
      </c>
      <c r="BD39" s="12">
        <v>715888126682.396</v>
      </c>
      <c r="BE39" s="12">
        <v>686420221557.98999</v>
      </c>
      <c r="BF39" s="12">
        <v>706234937370.96802</v>
      </c>
      <c r="BG39" s="12">
        <v>726537808338</v>
      </c>
      <c r="BH39" s="12">
        <v>694118186379.62805</v>
      </c>
      <c r="BI39" s="12">
        <v>687895460902.71301</v>
      </c>
      <c r="BJ39" s="12">
        <v>695200833086.49902</v>
      </c>
      <c r="BK39" s="12">
        <v>725568717468.00098</v>
      </c>
      <c r="BL39" s="12">
        <v>721369112726.724</v>
      </c>
      <c r="BM39" s="12">
        <v>741999406005.62695</v>
      </c>
      <c r="BN39" s="12">
        <v>813408787222.49902</v>
      </c>
      <c r="BO39" s="12">
        <v>818426550206.44995</v>
      </c>
    </row>
    <row r="40" spans="1:67" x14ac:dyDescent="0.2">
      <c r="A40" s="12" t="s">
        <v>990</v>
      </c>
      <c r="B40" s="12" t="s">
        <v>991</v>
      </c>
      <c r="C40" s="12" t="s">
        <v>978</v>
      </c>
      <c r="D40" s="12" t="s">
        <v>979</v>
      </c>
      <c r="AQ40" s="12">
        <v>5945677376.6147699</v>
      </c>
      <c r="AR40" s="12">
        <v>6262740656.8516397</v>
      </c>
      <c r="AS40" s="12">
        <v>6439703434.7102404</v>
      </c>
      <c r="AT40" s="12">
        <v>6232906290.4850998</v>
      </c>
      <c r="AU40" s="12">
        <v>6663669064.7482004</v>
      </c>
      <c r="AV40" s="12">
        <v>7332244897.9591799</v>
      </c>
      <c r="AW40" s="12">
        <v>8553643354.0827503</v>
      </c>
      <c r="AX40" s="12">
        <v>8827272727.2727299</v>
      </c>
      <c r="AY40" s="12">
        <v>9676172953.0818806</v>
      </c>
      <c r="AZ40" s="12">
        <v>11514605842.336901</v>
      </c>
      <c r="BI40" s="12">
        <v>9511207129.3545799</v>
      </c>
      <c r="BJ40" s="12">
        <v>9530244530.2445297</v>
      </c>
      <c r="BK40" s="12">
        <v>10422948632.4216</v>
      </c>
      <c r="BL40" s="12">
        <v>10381669645.1366</v>
      </c>
      <c r="BM40" s="12">
        <v>9811538461.5384598</v>
      </c>
      <c r="BN40" s="12">
        <v>11735662219.777201</v>
      </c>
    </row>
    <row r="41" spans="1:67" x14ac:dyDescent="0.2">
      <c r="A41" s="12" t="s">
        <v>49</v>
      </c>
      <c r="B41" s="12" t="s">
        <v>48</v>
      </c>
      <c r="C41" s="12" t="s">
        <v>978</v>
      </c>
      <c r="D41" s="12" t="s">
        <v>979</v>
      </c>
      <c r="E41" s="12">
        <v>4110000000</v>
      </c>
      <c r="F41" s="12">
        <v>4829238095.2381001</v>
      </c>
      <c r="G41" s="12">
        <v>5631285444.2343998</v>
      </c>
      <c r="H41" s="12">
        <v>5591307028.3600502</v>
      </c>
      <c r="I41" s="12">
        <v>5964195925.4442997</v>
      </c>
      <c r="J41" s="12">
        <v>6108679125.7523003</v>
      </c>
      <c r="K41" s="12">
        <v>7162633082.3162804</v>
      </c>
      <c r="L41" s="12">
        <v>7057478295.1854801</v>
      </c>
      <c r="M41" s="12">
        <v>7192102966.8411903</v>
      </c>
      <c r="N41" s="12">
        <v>8359596194.0125303</v>
      </c>
      <c r="O41" s="12">
        <v>9144112431.2821407</v>
      </c>
      <c r="P41" s="12">
        <v>10876091407.977699</v>
      </c>
      <c r="Q41" s="12">
        <v>11833904487.641001</v>
      </c>
      <c r="R41" s="12">
        <v>16826390943.859699</v>
      </c>
      <c r="S41" s="12">
        <v>16209693232.078199</v>
      </c>
      <c r="T41" s="12">
        <v>7621570062.1759796</v>
      </c>
      <c r="U41" s="12">
        <v>10338624019.4415</v>
      </c>
      <c r="V41" s="12">
        <v>13965595122.324699</v>
      </c>
      <c r="W41" s="12">
        <v>15992038535.204599</v>
      </c>
      <c r="X41" s="12">
        <v>21806136345.507401</v>
      </c>
      <c r="Y41" s="12">
        <v>29036709871.794899</v>
      </c>
      <c r="Z41" s="12">
        <v>34509878043.589699</v>
      </c>
      <c r="AA41" s="12">
        <v>19529291438.371201</v>
      </c>
      <c r="AB41" s="12">
        <v>20362016603.824299</v>
      </c>
      <c r="AC41" s="12">
        <v>19671768029.284302</v>
      </c>
      <c r="AD41" s="12">
        <v>17717662227.8036</v>
      </c>
      <c r="AE41" s="12">
        <v>18897110581.453098</v>
      </c>
      <c r="AF41" s="12">
        <v>22250729663.518799</v>
      </c>
      <c r="AG41" s="12">
        <v>26042571602.0453</v>
      </c>
      <c r="AH41" s="12">
        <v>29936735454.608002</v>
      </c>
      <c r="AI41" s="12">
        <v>33137824752.7724</v>
      </c>
      <c r="AJ41" s="12">
        <v>37846188180.809998</v>
      </c>
      <c r="AK41" s="12">
        <v>45949608605.233299</v>
      </c>
      <c r="AL41" s="12">
        <v>49287378587.554199</v>
      </c>
      <c r="AM41" s="12">
        <v>56998601233.067497</v>
      </c>
      <c r="AN41" s="12">
        <v>73444831587.425201</v>
      </c>
      <c r="AO41" s="12">
        <v>78584098982.909698</v>
      </c>
      <c r="AP41" s="12">
        <v>85741415248.448196</v>
      </c>
      <c r="AQ41" s="12">
        <v>81990010726.018402</v>
      </c>
      <c r="AR41" s="12">
        <v>75578685736.115906</v>
      </c>
      <c r="AS41" s="12">
        <v>78339750717.039505</v>
      </c>
      <c r="AT41" s="12">
        <v>71574739558.691406</v>
      </c>
      <c r="AU41" s="12">
        <v>70264045959.602493</v>
      </c>
      <c r="AV41" s="12">
        <v>76492579644.060501</v>
      </c>
      <c r="AW41" s="12">
        <v>99075985721.569702</v>
      </c>
      <c r="AX41" s="12">
        <v>122294145211.371</v>
      </c>
      <c r="AY41" s="12">
        <v>153843518110.85199</v>
      </c>
      <c r="AZ41" s="12">
        <v>172491075948.358</v>
      </c>
      <c r="BA41" s="12">
        <v>179894594475.98001</v>
      </c>
      <c r="BB41" s="12">
        <v>171777900623.177</v>
      </c>
      <c r="BC41" s="12">
        <v>217051209240.298</v>
      </c>
      <c r="BD41" s="12">
        <v>251382574083.741</v>
      </c>
      <c r="BE41" s="12">
        <v>267024782642.38901</v>
      </c>
      <c r="BF41" s="12">
        <v>277395018674.68201</v>
      </c>
      <c r="BG41" s="12">
        <v>259560978407.095</v>
      </c>
      <c r="BH41" s="12">
        <v>242450355827.827</v>
      </c>
      <c r="BI41" s="12">
        <v>249344864067.96399</v>
      </c>
      <c r="BJ41" s="12">
        <v>276154259806.31201</v>
      </c>
      <c r="BK41" s="12">
        <v>295857562826.427</v>
      </c>
      <c r="BL41" s="12">
        <v>278598887622.96002</v>
      </c>
      <c r="BM41" s="12">
        <v>254258196269.73499</v>
      </c>
      <c r="BN41" s="12">
        <v>316581155648.87097</v>
      </c>
      <c r="BO41" s="12">
        <v>301024724911.92297</v>
      </c>
    </row>
    <row r="42" spans="1:67" x14ac:dyDescent="0.2">
      <c r="A42" s="12" t="s">
        <v>101</v>
      </c>
      <c r="B42" s="12" t="s">
        <v>100</v>
      </c>
      <c r="C42" s="12" t="s">
        <v>978</v>
      </c>
      <c r="D42" s="12" t="s">
        <v>979</v>
      </c>
      <c r="E42" s="12">
        <v>59716249310.974197</v>
      </c>
      <c r="F42" s="12">
        <v>50056685957.359001</v>
      </c>
      <c r="G42" s="12">
        <v>47209186415.355499</v>
      </c>
      <c r="H42" s="12">
        <v>50706614526.147202</v>
      </c>
      <c r="I42" s="12">
        <v>59708125203.864304</v>
      </c>
      <c r="J42" s="12">
        <v>70436008642.425095</v>
      </c>
      <c r="K42" s="12">
        <v>76720005491.896393</v>
      </c>
      <c r="L42" s="12">
        <v>72881364882.490906</v>
      </c>
      <c r="M42" s="12">
        <v>70846276051.472702</v>
      </c>
      <c r="N42" s="12">
        <v>79705614854.767395</v>
      </c>
      <c r="O42" s="12">
        <v>92602634891.658905</v>
      </c>
      <c r="P42" s="12">
        <v>99800593790.988602</v>
      </c>
      <c r="Q42" s="12">
        <v>113689308020.343</v>
      </c>
      <c r="R42" s="12">
        <v>138543170458.064</v>
      </c>
      <c r="S42" s="12">
        <v>144188970821.07199</v>
      </c>
      <c r="T42" s="12">
        <v>163429530659.638</v>
      </c>
      <c r="U42" s="12">
        <v>153939265947.77499</v>
      </c>
      <c r="V42" s="12">
        <v>174935933078.66299</v>
      </c>
      <c r="W42" s="12">
        <v>218502169137.56201</v>
      </c>
      <c r="X42" s="12">
        <v>263711728825.005</v>
      </c>
      <c r="Y42" s="12">
        <v>306165314855.84601</v>
      </c>
      <c r="Z42" s="12">
        <v>289576581830.44897</v>
      </c>
      <c r="AA42" s="12">
        <v>283928672988.11102</v>
      </c>
      <c r="AB42" s="12">
        <v>304748904221.289</v>
      </c>
      <c r="AC42" s="12">
        <v>313728547706.89697</v>
      </c>
      <c r="AD42" s="12">
        <v>309835803013.58698</v>
      </c>
      <c r="AE42" s="12">
        <v>300514204520.96899</v>
      </c>
      <c r="AF42" s="12">
        <v>327089403146.073</v>
      </c>
      <c r="AG42" s="12">
        <v>407844670393.05798</v>
      </c>
      <c r="AH42" s="12">
        <v>456289122063.159</v>
      </c>
      <c r="AI42" s="12">
        <v>394565747349.05499</v>
      </c>
      <c r="AJ42" s="12">
        <v>413375445354.47302</v>
      </c>
      <c r="AK42" s="12">
        <v>493136961883.00201</v>
      </c>
      <c r="AL42" s="12">
        <v>619111946511.62805</v>
      </c>
      <c r="AM42" s="12">
        <v>564321854521.01294</v>
      </c>
      <c r="AN42" s="12">
        <v>734484834573.58203</v>
      </c>
      <c r="AO42" s="12">
        <v>863749314718.53796</v>
      </c>
      <c r="AP42" s="12">
        <v>961601980984.62305</v>
      </c>
      <c r="AQ42" s="12">
        <v>1029060747620.65</v>
      </c>
      <c r="AR42" s="12">
        <v>1094010482677.39</v>
      </c>
      <c r="AS42" s="12">
        <v>1211331651829.8501</v>
      </c>
      <c r="AT42" s="12">
        <v>1339400897153.4399</v>
      </c>
      <c r="AU42" s="12">
        <v>1470557654824.1101</v>
      </c>
      <c r="AV42" s="12">
        <v>1660280543870.95</v>
      </c>
      <c r="AW42" s="12">
        <v>1955346768757.6399</v>
      </c>
      <c r="AX42" s="12">
        <v>2285961149904.2598</v>
      </c>
      <c r="AY42" s="12">
        <v>2752118657221.6401</v>
      </c>
      <c r="AZ42" s="12">
        <v>3550327803024.6899</v>
      </c>
      <c r="BA42" s="12">
        <v>4594336785752.0596</v>
      </c>
      <c r="BB42" s="12">
        <v>5101691124358.4102</v>
      </c>
      <c r="BC42" s="12">
        <v>6087191746738.5703</v>
      </c>
      <c r="BD42" s="12">
        <v>7551545703518.1396</v>
      </c>
      <c r="BE42" s="12">
        <v>8532185381696.4297</v>
      </c>
      <c r="BF42" s="12">
        <v>9570471111847.8203</v>
      </c>
      <c r="BG42" s="12">
        <v>10475624944290.1</v>
      </c>
      <c r="BH42" s="12">
        <v>11061572618594.801</v>
      </c>
      <c r="BI42" s="12">
        <v>11233313730288.5</v>
      </c>
      <c r="BJ42" s="12">
        <v>12310491333980.9</v>
      </c>
      <c r="BK42" s="12">
        <v>13894907857925.9</v>
      </c>
      <c r="BL42" s="12">
        <v>14279968506242.801</v>
      </c>
      <c r="BM42" s="12">
        <v>14687744162801</v>
      </c>
      <c r="BN42" s="12">
        <v>17820459508852.199</v>
      </c>
      <c r="BO42" s="12">
        <v>17963171479205.301</v>
      </c>
    </row>
    <row r="43" spans="1:67" x14ac:dyDescent="0.2">
      <c r="A43" s="12" t="s">
        <v>267</v>
      </c>
      <c r="B43" s="12" t="s">
        <v>266</v>
      </c>
      <c r="C43" s="12" t="s">
        <v>978</v>
      </c>
      <c r="D43" s="12" t="s">
        <v>979</v>
      </c>
      <c r="E43" s="12">
        <v>546203558.45696497</v>
      </c>
      <c r="F43" s="12">
        <v>618245635.13480103</v>
      </c>
      <c r="G43" s="12">
        <v>645284474.55922902</v>
      </c>
      <c r="H43" s="12">
        <v>761047198.97367704</v>
      </c>
      <c r="I43" s="12">
        <v>921063326.29279697</v>
      </c>
      <c r="J43" s="12">
        <v>919771228.03651798</v>
      </c>
      <c r="K43" s="12">
        <v>1024102881.90257</v>
      </c>
      <c r="L43" s="12">
        <v>1082922725.7906899</v>
      </c>
      <c r="M43" s="12">
        <v>1281281277.9814799</v>
      </c>
      <c r="N43" s="12">
        <v>1361360291.5873001</v>
      </c>
      <c r="O43" s="12">
        <v>1455482795.2655499</v>
      </c>
      <c r="P43" s="12">
        <v>1584128511.2790201</v>
      </c>
      <c r="Q43" s="12">
        <v>1849400398.25228</v>
      </c>
      <c r="R43" s="12">
        <v>2508421425.5766902</v>
      </c>
      <c r="S43" s="12">
        <v>3070152313.8385401</v>
      </c>
      <c r="T43" s="12">
        <v>3893839184.06847</v>
      </c>
      <c r="U43" s="12">
        <v>4662053819.6290798</v>
      </c>
      <c r="V43" s="12">
        <v>6265068200.4305496</v>
      </c>
      <c r="W43" s="12">
        <v>7900526290.1287699</v>
      </c>
      <c r="X43" s="12">
        <v>9142933955.5174904</v>
      </c>
      <c r="Y43" s="12">
        <v>10175617589.123199</v>
      </c>
      <c r="Z43" s="12">
        <v>8432589956.3489599</v>
      </c>
      <c r="AA43" s="12">
        <v>7567110855.8539104</v>
      </c>
      <c r="AB43" s="12">
        <v>6838184772.0786896</v>
      </c>
      <c r="AC43" s="12">
        <v>6841639250.2188597</v>
      </c>
      <c r="AD43" s="12">
        <v>6977650648.4740105</v>
      </c>
      <c r="AE43" s="12">
        <v>9158302111.3613091</v>
      </c>
      <c r="AF43" s="12">
        <v>10087654451.341</v>
      </c>
      <c r="AG43" s="12">
        <v>10255169812.0186</v>
      </c>
      <c r="AH43" s="12">
        <v>9757410629.7445602</v>
      </c>
      <c r="AI43" s="12">
        <v>10795850584.5874</v>
      </c>
      <c r="AJ43" s="12">
        <v>10492628587.8153</v>
      </c>
      <c r="AK43" s="12">
        <v>11152971284.4722</v>
      </c>
      <c r="AL43" s="12">
        <v>11045760268.616301</v>
      </c>
      <c r="AM43" s="12">
        <v>8313557515.2386904</v>
      </c>
      <c r="AN43" s="12">
        <v>11000146268.7173</v>
      </c>
      <c r="AO43" s="12">
        <v>18071152821.072102</v>
      </c>
      <c r="AP43" s="12">
        <v>18047558026.881302</v>
      </c>
      <c r="AQ43" s="12">
        <v>19619654769.979198</v>
      </c>
      <c r="AR43" s="12">
        <v>18870992455.568001</v>
      </c>
      <c r="AS43" s="12">
        <v>16577533891.178301</v>
      </c>
      <c r="AT43" s="12">
        <v>16810537037.872999</v>
      </c>
      <c r="AU43" s="12">
        <v>18054383333.860199</v>
      </c>
      <c r="AV43" s="12">
        <v>21251754334.2005</v>
      </c>
      <c r="AW43" s="12">
        <v>23510575668.4394</v>
      </c>
      <c r="AX43" s="12">
        <v>24036918719.130699</v>
      </c>
      <c r="AY43" s="12">
        <v>25281413268.210499</v>
      </c>
      <c r="AZ43" s="12">
        <v>28760090924.4659</v>
      </c>
      <c r="BA43" s="12">
        <v>34078240260.4002</v>
      </c>
      <c r="BB43" s="12">
        <v>33886813225.705002</v>
      </c>
      <c r="BC43" s="12">
        <v>34936307964.529297</v>
      </c>
      <c r="BD43" s="12">
        <v>36693710823.199799</v>
      </c>
      <c r="BE43" s="12">
        <v>36302302845.301201</v>
      </c>
      <c r="BF43" s="12">
        <v>42760235497.595802</v>
      </c>
      <c r="BG43" s="12">
        <v>48843005625.579597</v>
      </c>
      <c r="BH43" s="12">
        <v>45815005170.815002</v>
      </c>
      <c r="BI43" s="12">
        <v>48407761031.9226</v>
      </c>
      <c r="BJ43" s="12">
        <v>52512344033.768799</v>
      </c>
      <c r="BK43" s="12">
        <v>58522477744.544403</v>
      </c>
      <c r="BL43" s="12">
        <v>59898479821.2323</v>
      </c>
      <c r="BM43" s="12">
        <v>62982768371.620796</v>
      </c>
      <c r="BN43" s="12">
        <v>71811075955.078003</v>
      </c>
      <c r="BO43" s="12">
        <v>70018715016.8293</v>
      </c>
    </row>
    <row r="44" spans="1:67" x14ac:dyDescent="0.2">
      <c r="A44" s="12" t="s">
        <v>143</v>
      </c>
      <c r="B44" s="12" t="s">
        <v>142</v>
      </c>
      <c r="C44" s="12" t="s">
        <v>978</v>
      </c>
      <c r="D44" s="12" t="s">
        <v>979</v>
      </c>
      <c r="E44" s="12">
        <v>614206068.49726605</v>
      </c>
      <c r="F44" s="12">
        <v>652777608.32049203</v>
      </c>
      <c r="G44" s="12">
        <v>694247864.37890005</v>
      </c>
      <c r="H44" s="12">
        <v>718320845.04433799</v>
      </c>
      <c r="I44" s="12">
        <v>776650176.90445304</v>
      </c>
      <c r="J44" s="12">
        <v>814083265.51142597</v>
      </c>
      <c r="K44" s="12">
        <v>851112534.55263603</v>
      </c>
      <c r="L44" s="12">
        <v>936175260.03091896</v>
      </c>
      <c r="M44" s="12">
        <v>1046191217.79942</v>
      </c>
      <c r="N44" s="12">
        <v>1100551488.6268899</v>
      </c>
      <c r="O44" s="12">
        <v>1151216992.88095</v>
      </c>
      <c r="P44" s="12">
        <v>1236941394.11447</v>
      </c>
      <c r="Q44" s="12">
        <v>1498251889.6628699</v>
      </c>
      <c r="R44" s="12">
        <v>1901393361.02282</v>
      </c>
      <c r="S44" s="12">
        <v>2157415532.5479598</v>
      </c>
      <c r="T44" s="12">
        <v>2857037371.0588598</v>
      </c>
      <c r="U44" s="12">
        <v>2898090001.8562002</v>
      </c>
      <c r="V44" s="12">
        <v>3394664024.0550299</v>
      </c>
      <c r="W44" s="12">
        <v>4662852583.1325598</v>
      </c>
      <c r="X44" s="12">
        <v>5919002982.6020002</v>
      </c>
      <c r="Y44" s="12">
        <v>6674569046.6831999</v>
      </c>
      <c r="Z44" s="12">
        <v>6610938616.6643</v>
      </c>
      <c r="AA44" s="12">
        <v>6611255963.8358402</v>
      </c>
      <c r="AB44" s="12">
        <v>6870200009.90065</v>
      </c>
      <c r="AC44" s="12">
        <v>7311938026.3671303</v>
      </c>
      <c r="AD44" s="12">
        <v>8544810497.9889002</v>
      </c>
      <c r="AE44" s="12">
        <v>11857056199.0765</v>
      </c>
      <c r="AF44" s="12">
        <v>13049659981.1373</v>
      </c>
      <c r="AG44" s="12">
        <v>12236057362.491699</v>
      </c>
      <c r="AH44" s="12">
        <v>11012566195.025499</v>
      </c>
      <c r="AI44" s="12">
        <v>12314482627.8454</v>
      </c>
      <c r="AJ44" s="12">
        <v>11840192296.389299</v>
      </c>
      <c r="AK44" s="12">
        <v>12071775335.043301</v>
      </c>
      <c r="AL44" s="12">
        <v>16181814712.529499</v>
      </c>
      <c r="AM44" s="12">
        <v>8902446252.1837196</v>
      </c>
      <c r="AN44" s="12">
        <v>10864772470.904301</v>
      </c>
      <c r="AO44" s="12">
        <v>11093538846.448299</v>
      </c>
      <c r="AP44" s="12">
        <v>10789458432.6416</v>
      </c>
      <c r="AQ44" s="12">
        <v>11298144990.4104</v>
      </c>
      <c r="AR44" s="12">
        <v>11565826464.892099</v>
      </c>
      <c r="AS44" s="12">
        <v>10566579294.983101</v>
      </c>
      <c r="AT44" s="12">
        <v>10953485349.113501</v>
      </c>
      <c r="AU44" s="12">
        <v>12417251332.588499</v>
      </c>
      <c r="AV44" s="12">
        <v>15970315034.990299</v>
      </c>
      <c r="AW44" s="12">
        <v>18826214135.641899</v>
      </c>
      <c r="AX44" s="12">
        <v>19509852206.934101</v>
      </c>
      <c r="AY44" s="12">
        <v>20910512974.932999</v>
      </c>
      <c r="AZ44" s="12">
        <v>23928250433.0378</v>
      </c>
      <c r="BA44" s="12">
        <v>27715142032.912998</v>
      </c>
      <c r="BB44" s="12">
        <v>27932970317.129002</v>
      </c>
      <c r="BC44" s="12">
        <v>27507501821.029598</v>
      </c>
      <c r="BD44" s="12">
        <v>30630910495.216999</v>
      </c>
      <c r="BE44" s="12">
        <v>30155062329.282101</v>
      </c>
      <c r="BF44" s="12">
        <v>33728621180.323101</v>
      </c>
      <c r="BG44" s="12">
        <v>36386544706.080597</v>
      </c>
      <c r="BH44" s="12">
        <v>32210233020.456902</v>
      </c>
      <c r="BI44" s="12">
        <v>33814337044.376499</v>
      </c>
      <c r="BJ44" s="12">
        <v>36098547033.165497</v>
      </c>
      <c r="BK44" s="12">
        <v>39973842087.224197</v>
      </c>
      <c r="BL44" s="12">
        <v>39670976452.528297</v>
      </c>
      <c r="BM44" s="12">
        <v>40773241177.050499</v>
      </c>
      <c r="BN44" s="12">
        <v>44993521774.066002</v>
      </c>
      <c r="BO44" s="12">
        <v>43644068310.850998</v>
      </c>
    </row>
    <row r="45" spans="1:67" x14ac:dyDescent="0.2">
      <c r="A45" s="12" t="s">
        <v>121</v>
      </c>
      <c r="B45" s="12" t="s">
        <v>120</v>
      </c>
      <c r="C45" s="12" t="s">
        <v>978</v>
      </c>
      <c r="D45" s="12" t="s">
        <v>979</v>
      </c>
      <c r="AC45" s="12">
        <v>9461033354</v>
      </c>
      <c r="AD45" s="12">
        <v>5979350228</v>
      </c>
      <c r="AE45" s="12">
        <v>8042983396.5</v>
      </c>
      <c r="AF45" s="12">
        <v>7175016484.75</v>
      </c>
      <c r="AG45" s="12">
        <v>9207333740.8333302</v>
      </c>
      <c r="AH45" s="12">
        <v>8822051647.6923103</v>
      </c>
      <c r="AI45" s="12">
        <v>9329305477.5</v>
      </c>
      <c r="AK45" s="12">
        <v>8850000000</v>
      </c>
      <c r="AL45" s="12">
        <v>10768000000</v>
      </c>
      <c r="AM45" s="12">
        <v>5820475672.0542698</v>
      </c>
      <c r="AN45" s="12">
        <v>5643416613.2820797</v>
      </c>
      <c r="AO45" s="12">
        <v>5771456952.1907997</v>
      </c>
      <c r="AP45" s="12">
        <v>6090838693.27145</v>
      </c>
      <c r="AQ45" s="12">
        <v>6217805820.77104</v>
      </c>
      <c r="AR45" s="12">
        <v>4711259427.2727299</v>
      </c>
      <c r="AS45" s="12">
        <v>19088046305.7971</v>
      </c>
      <c r="AT45" s="12">
        <v>7438189100.3333302</v>
      </c>
      <c r="AU45" s="12">
        <v>8728038525.1403408</v>
      </c>
      <c r="AV45" s="12">
        <v>8937567059.8775406</v>
      </c>
      <c r="AW45" s="12">
        <v>10297483481.223</v>
      </c>
      <c r="AX45" s="12">
        <v>11964484465.938801</v>
      </c>
      <c r="AY45" s="12">
        <v>14451901696.3878</v>
      </c>
      <c r="AZ45" s="12">
        <v>16737071816.379999</v>
      </c>
      <c r="BA45" s="12">
        <v>19788515590.128399</v>
      </c>
      <c r="BB45" s="12">
        <v>18648372553.092098</v>
      </c>
      <c r="BC45" s="12">
        <v>21565721044.846199</v>
      </c>
      <c r="BD45" s="12">
        <v>25839749199.3671</v>
      </c>
      <c r="BE45" s="12">
        <v>29306235285.259701</v>
      </c>
      <c r="BF45" s="12">
        <v>32679745048.442699</v>
      </c>
      <c r="BG45" s="12">
        <v>35909040925.9375</v>
      </c>
      <c r="BH45" s="12">
        <v>37917706497.179298</v>
      </c>
      <c r="BI45" s="12">
        <v>37134801555.332199</v>
      </c>
      <c r="BJ45" s="12">
        <v>38019264794.826302</v>
      </c>
      <c r="BK45" s="12">
        <v>47568210009.8172</v>
      </c>
      <c r="BL45" s="12">
        <v>51775829877.208801</v>
      </c>
      <c r="BM45" s="12">
        <v>48716961860.1325</v>
      </c>
      <c r="BN45" s="12">
        <v>55328482783.539299</v>
      </c>
      <c r="BO45" s="12">
        <v>64718641221.216003</v>
      </c>
    </row>
    <row r="46" spans="1:67" x14ac:dyDescent="0.2">
      <c r="A46" s="12" t="s">
        <v>309</v>
      </c>
      <c r="B46" s="12" t="s">
        <v>308</v>
      </c>
      <c r="C46" s="12" t="s">
        <v>978</v>
      </c>
      <c r="D46" s="12" t="s">
        <v>979</v>
      </c>
      <c r="E46" s="12">
        <v>131731862.78301699</v>
      </c>
      <c r="F46" s="12">
        <v>151675738.92634201</v>
      </c>
      <c r="G46" s="12">
        <v>166521239.65024301</v>
      </c>
      <c r="H46" s="12">
        <v>172233430.65785801</v>
      </c>
      <c r="I46" s="12">
        <v>185693724.905233</v>
      </c>
      <c r="J46" s="12">
        <v>198318064.02892399</v>
      </c>
      <c r="K46" s="12">
        <v>220613581.972601</v>
      </c>
      <c r="L46" s="12">
        <v>237397428.13501</v>
      </c>
      <c r="M46" s="12">
        <v>251247457.76552501</v>
      </c>
      <c r="N46" s="12">
        <v>265040036.41721499</v>
      </c>
      <c r="O46" s="12">
        <v>274960699.88525498</v>
      </c>
      <c r="P46" s="12">
        <v>322128018.95544398</v>
      </c>
      <c r="Q46" s="12">
        <v>410669263.65179801</v>
      </c>
      <c r="R46" s="12">
        <v>541973362.61042297</v>
      </c>
      <c r="S46" s="12">
        <v>585364634.47397697</v>
      </c>
      <c r="T46" s="12">
        <v>767102680.23996699</v>
      </c>
      <c r="U46" s="12">
        <v>754549601.39149201</v>
      </c>
      <c r="V46" s="12">
        <v>765224029.28655601</v>
      </c>
      <c r="W46" s="12">
        <v>878771772.20214903</v>
      </c>
      <c r="X46" s="12">
        <v>1198749667.42923</v>
      </c>
      <c r="Y46" s="12">
        <v>1705796852.8947301</v>
      </c>
      <c r="Z46" s="12">
        <v>1993512322.62391</v>
      </c>
      <c r="AA46" s="12">
        <v>2160640564.56041</v>
      </c>
      <c r="AB46" s="12">
        <v>2097274289.7506599</v>
      </c>
      <c r="AC46" s="12">
        <v>2193581365.3429899</v>
      </c>
      <c r="AD46" s="12">
        <v>2160872540.0317502</v>
      </c>
      <c r="AE46" s="12">
        <v>1849268212.30284</v>
      </c>
      <c r="AF46" s="12">
        <v>2297753652.3492899</v>
      </c>
      <c r="AG46" s="12">
        <v>2212536311.9931898</v>
      </c>
      <c r="AH46" s="12">
        <v>2389593025.6033902</v>
      </c>
      <c r="AI46" s="12">
        <v>2798746050.1135402</v>
      </c>
      <c r="AJ46" s="12">
        <v>2724853505.80336</v>
      </c>
      <c r="AK46" s="12">
        <v>2933222703.0334001</v>
      </c>
      <c r="AL46" s="12">
        <v>2684323623.1437201</v>
      </c>
      <c r="AM46" s="12">
        <v>1769365437.7880099</v>
      </c>
      <c r="AN46" s="12">
        <v>2116003867.7553599</v>
      </c>
      <c r="AO46" s="12">
        <v>2540697539.0577302</v>
      </c>
      <c r="AP46" s="12">
        <v>2322719102.6908998</v>
      </c>
      <c r="AQ46" s="12">
        <v>1949481379.2195101</v>
      </c>
      <c r="AR46" s="12">
        <v>2354772960.2829599</v>
      </c>
      <c r="AS46" s="12">
        <v>3227927697.5792098</v>
      </c>
      <c r="AT46" s="12">
        <v>2796704604.0381198</v>
      </c>
      <c r="AU46" s="12">
        <v>3034250923.9772601</v>
      </c>
      <c r="AV46" s="12">
        <v>3503723087.7448301</v>
      </c>
      <c r="AW46" s="12">
        <v>4656974940.1272097</v>
      </c>
      <c r="AX46" s="12">
        <v>6650001680.4854403</v>
      </c>
      <c r="AY46" s="12">
        <v>8072305029.0651398</v>
      </c>
      <c r="AZ46" s="12">
        <v>8782703436.7018795</v>
      </c>
      <c r="BA46" s="12">
        <v>11649857673.4436</v>
      </c>
      <c r="BB46" s="12">
        <v>9723299915.2531204</v>
      </c>
      <c r="BC46" s="12">
        <v>13148396211.595501</v>
      </c>
      <c r="BD46" s="12">
        <v>15655383576.651501</v>
      </c>
      <c r="BE46" s="12">
        <v>17692911296.304401</v>
      </c>
      <c r="BF46" s="12">
        <v>17958720699.0868</v>
      </c>
      <c r="BG46" s="12">
        <v>17919224179.560902</v>
      </c>
      <c r="BH46" s="12">
        <v>12434829581.0287</v>
      </c>
      <c r="BI46" s="12">
        <v>10931247264.8116</v>
      </c>
      <c r="BJ46" s="12">
        <v>11834406800.8818</v>
      </c>
      <c r="BK46" s="12">
        <v>14773806078.1348</v>
      </c>
      <c r="BL46" s="12">
        <v>13976661497.841</v>
      </c>
      <c r="BM46" s="12">
        <v>11468608530.2038</v>
      </c>
      <c r="BN46" s="12">
        <v>14825708810.704599</v>
      </c>
      <c r="BO46" s="12">
        <v>15816996654.5788</v>
      </c>
    </row>
    <row r="47" spans="1:67" x14ac:dyDescent="0.2">
      <c r="A47" s="12" t="s">
        <v>39</v>
      </c>
      <c r="B47" s="12" t="s">
        <v>38</v>
      </c>
      <c r="C47" s="12" t="s">
        <v>978</v>
      </c>
      <c r="D47" s="12" t="s">
        <v>979</v>
      </c>
      <c r="E47" s="12">
        <v>4031152976.63904</v>
      </c>
      <c r="F47" s="12">
        <v>4540447761.1940298</v>
      </c>
      <c r="G47" s="12">
        <v>4955538218.8161802</v>
      </c>
      <c r="H47" s="12">
        <v>4836166666.6666698</v>
      </c>
      <c r="I47" s="12">
        <v>5973366666.6666698</v>
      </c>
      <c r="J47" s="12">
        <v>5760761904.7618999</v>
      </c>
      <c r="K47" s="12">
        <v>5428518518.5185204</v>
      </c>
      <c r="L47" s="12">
        <v>5825170438.4870396</v>
      </c>
      <c r="M47" s="12">
        <v>5960212869.1296797</v>
      </c>
      <c r="N47" s="12">
        <v>6450175213.7492304</v>
      </c>
      <c r="O47" s="12">
        <v>7198360460.1988697</v>
      </c>
      <c r="P47" s="12">
        <v>7820380970.5367403</v>
      </c>
      <c r="Q47" s="12">
        <v>8671358732.6848602</v>
      </c>
      <c r="R47" s="12">
        <v>10315760000.339399</v>
      </c>
      <c r="S47" s="12">
        <v>12370029583.641899</v>
      </c>
      <c r="T47" s="12">
        <v>13098633901.8673</v>
      </c>
      <c r="U47" s="12">
        <v>15341403660.469801</v>
      </c>
      <c r="V47" s="12">
        <v>19470960619.1297</v>
      </c>
      <c r="W47" s="12">
        <v>23263511958.0509</v>
      </c>
      <c r="X47" s="12">
        <v>27940411250.273201</v>
      </c>
      <c r="Y47" s="12">
        <v>33400735644.0481</v>
      </c>
      <c r="Z47" s="12">
        <v>36388366869.030899</v>
      </c>
      <c r="AA47" s="12">
        <v>38968039721.748001</v>
      </c>
      <c r="AB47" s="12">
        <v>38729822781.599701</v>
      </c>
      <c r="AC47" s="12">
        <v>38253120737.967102</v>
      </c>
      <c r="AD47" s="12">
        <v>34894419443.488098</v>
      </c>
      <c r="AE47" s="12">
        <v>34942489683.971199</v>
      </c>
      <c r="AF47" s="12">
        <v>36373307085.088699</v>
      </c>
      <c r="AG47" s="12">
        <v>39212550050.422302</v>
      </c>
      <c r="AH47" s="12">
        <v>39540080200.393799</v>
      </c>
      <c r="AI47" s="12">
        <v>47844090709.990799</v>
      </c>
      <c r="AJ47" s="12">
        <v>49637993948.840202</v>
      </c>
      <c r="AK47" s="12">
        <v>58394443377.541603</v>
      </c>
      <c r="AL47" s="12">
        <v>66474101301.175903</v>
      </c>
      <c r="AM47" s="12">
        <v>81705497616.570297</v>
      </c>
      <c r="AN47" s="12">
        <v>92495970511.395096</v>
      </c>
      <c r="AO47" s="12">
        <v>97153389010.946594</v>
      </c>
      <c r="AP47" s="12">
        <v>106656492293.614</v>
      </c>
      <c r="AQ47" s="12">
        <v>98486358581.163895</v>
      </c>
      <c r="AR47" s="12">
        <v>86278947636.962006</v>
      </c>
      <c r="AS47" s="12">
        <v>99875074951.027802</v>
      </c>
      <c r="AT47" s="12">
        <v>98200641203.389206</v>
      </c>
      <c r="AU47" s="12">
        <v>97945812802.888199</v>
      </c>
      <c r="AV47" s="12">
        <v>94644969157.098694</v>
      </c>
      <c r="AW47" s="12">
        <v>117092416666.245</v>
      </c>
      <c r="AX47" s="12">
        <v>145600529626.70999</v>
      </c>
      <c r="AY47" s="12">
        <v>161792958886.81</v>
      </c>
      <c r="AZ47" s="12">
        <v>206229540893.23099</v>
      </c>
      <c r="BA47" s="12">
        <v>242504150472.931</v>
      </c>
      <c r="BB47" s="12">
        <v>232468663073.68399</v>
      </c>
      <c r="BC47" s="12">
        <v>286498534094.96301</v>
      </c>
      <c r="BD47" s="12">
        <v>334966134865.29999</v>
      </c>
      <c r="BE47" s="12">
        <v>370691143086.755</v>
      </c>
      <c r="BF47" s="12">
        <v>382093697077.685</v>
      </c>
      <c r="BG47" s="12">
        <v>381240864422.40698</v>
      </c>
      <c r="BH47" s="12">
        <v>293492370228.84399</v>
      </c>
      <c r="BI47" s="12">
        <v>282720100286.22803</v>
      </c>
      <c r="BJ47" s="12">
        <v>311866875135.578</v>
      </c>
      <c r="BK47" s="12">
        <v>334198218100.71899</v>
      </c>
      <c r="BL47" s="12">
        <v>323031701210.76501</v>
      </c>
      <c r="BM47" s="12">
        <v>270150956772.57001</v>
      </c>
      <c r="BN47" s="12">
        <v>318511813576.96997</v>
      </c>
      <c r="BO47" s="12">
        <v>343622114560.409</v>
      </c>
    </row>
    <row r="48" spans="1:67" x14ac:dyDescent="0.2">
      <c r="A48" s="12" t="s">
        <v>315</v>
      </c>
      <c r="B48" s="12" t="s">
        <v>314</v>
      </c>
      <c r="C48" s="12" t="s">
        <v>978</v>
      </c>
      <c r="D48" s="12" t="s">
        <v>979</v>
      </c>
      <c r="Y48" s="12">
        <v>212218261.58564299</v>
      </c>
      <c r="Z48" s="12">
        <v>196349931.540286</v>
      </c>
      <c r="AA48" s="12">
        <v>184009013.56281501</v>
      </c>
      <c r="AB48" s="12">
        <v>191621954.85533199</v>
      </c>
      <c r="AC48" s="12">
        <v>184697225.63707599</v>
      </c>
      <c r="AD48" s="12">
        <v>196726096.32913101</v>
      </c>
      <c r="AE48" s="12">
        <v>279197721.80757701</v>
      </c>
      <c r="AF48" s="12">
        <v>337525852.64757502</v>
      </c>
      <c r="AG48" s="12">
        <v>356500032.67631602</v>
      </c>
      <c r="AH48" s="12">
        <v>341476768.326033</v>
      </c>
      <c r="AI48" s="12">
        <v>429622177.72488499</v>
      </c>
      <c r="AJ48" s="12">
        <v>424108769.502231</v>
      </c>
      <c r="AK48" s="12">
        <v>457388651.50094098</v>
      </c>
      <c r="AL48" s="12">
        <v>452881475.07181299</v>
      </c>
      <c r="AM48" s="12">
        <v>319189184.25563902</v>
      </c>
      <c r="AN48" s="12">
        <v>398461797.009413</v>
      </c>
      <c r="AO48" s="12">
        <v>396053805.89175397</v>
      </c>
      <c r="AP48" s="12">
        <v>364445600.52549201</v>
      </c>
      <c r="AQ48" s="12">
        <v>370106745.93014598</v>
      </c>
      <c r="AR48" s="12">
        <v>382454989.94531101</v>
      </c>
      <c r="AS48" s="12">
        <v>351136579.64863199</v>
      </c>
      <c r="AT48" s="12">
        <v>378512024.07755601</v>
      </c>
      <c r="AU48" s="12">
        <v>425964681.04437798</v>
      </c>
      <c r="AV48" s="12">
        <v>546885222.71306503</v>
      </c>
      <c r="AW48" s="12">
        <v>633706110.795614</v>
      </c>
      <c r="AX48" s="12">
        <v>653845169.168576</v>
      </c>
      <c r="AY48" s="12">
        <v>698431793.87277603</v>
      </c>
      <c r="AZ48" s="12">
        <v>795673153.18337297</v>
      </c>
      <c r="BA48" s="12">
        <v>915659107.76161301</v>
      </c>
      <c r="BB48" s="12">
        <v>905341173.97379994</v>
      </c>
      <c r="BC48" s="12">
        <v>907978731.70212305</v>
      </c>
      <c r="BD48" s="12">
        <v>1023086272.69622</v>
      </c>
      <c r="BE48" s="12">
        <v>1015843491.24635</v>
      </c>
      <c r="BF48" s="12">
        <v>1116224107.17116</v>
      </c>
      <c r="BG48" s="12">
        <v>1149587659.7450199</v>
      </c>
      <c r="BH48" s="12">
        <v>966029599.80122805</v>
      </c>
      <c r="BI48" s="12">
        <v>1012835492.5157501</v>
      </c>
      <c r="BJ48" s="12">
        <v>1077439756.12221</v>
      </c>
      <c r="BK48" s="12">
        <v>1188797449.96029</v>
      </c>
      <c r="BL48" s="12">
        <v>1195019531.0366399</v>
      </c>
      <c r="BM48" s="12">
        <v>1225039195.9374199</v>
      </c>
      <c r="BN48" s="12">
        <v>1296089479.4583099</v>
      </c>
      <c r="BO48" s="12">
        <v>1242519407.2781501</v>
      </c>
    </row>
    <row r="49" spans="1:67" x14ac:dyDescent="0.2">
      <c r="A49" s="12" t="s">
        <v>215</v>
      </c>
      <c r="B49" s="12" t="s">
        <v>214</v>
      </c>
      <c r="C49" s="12" t="s">
        <v>978</v>
      </c>
      <c r="D49" s="12" t="s">
        <v>979</v>
      </c>
      <c r="Y49" s="12">
        <v>142246815.345007</v>
      </c>
      <c r="Z49" s="12">
        <v>139468209.11620599</v>
      </c>
      <c r="AA49" s="12">
        <v>140630678.98347801</v>
      </c>
      <c r="AB49" s="12">
        <v>138476175.620363</v>
      </c>
      <c r="AC49" s="12">
        <v>132019038.591628</v>
      </c>
      <c r="AD49" s="12">
        <v>137728204.81373501</v>
      </c>
      <c r="AE49" s="12">
        <v>190651167.559385</v>
      </c>
      <c r="AF49" s="12">
        <v>235253064.70982</v>
      </c>
      <c r="AG49" s="12">
        <v>264308140.28514901</v>
      </c>
      <c r="AH49" s="12">
        <v>267448571.41461101</v>
      </c>
      <c r="AI49" s="12">
        <v>306890962.64953297</v>
      </c>
      <c r="AJ49" s="12">
        <v>319827058.592875</v>
      </c>
      <c r="AK49" s="12">
        <v>357160985.32741302</v>
      </c>
      <c r="AL49" s="12">
        <v>490417389.68256903</v>
      </c>
      <c r="AM49" s="12">
        <v>406580652.33053702</v>
      </c>
      <c r="AN49" s="12">
        <v>487148993.53310901</v>
      </c>
      <c r="AO49" s="12">
        <v>501979269.84394199</v>
      </c>
      <c r="AP49" s="12">
        <v>490608657.92497599</v>
      </c>
      <c r="AQ49" s="12">
        <v>521910560.52486801</v>
      </c>
      <c r="AR49" s="12">
        <v>592416703.05887794</v>
      </c>
      <c r="AS49" s="12">
        <v>539227277.62641096</v>
      </c>
      <c r="AT49" s="12">
        <v>563090490.37736797</v>
      </c>
      <c r="AU49" s="12">
        <v>620507387.46617401</v>
      </c>
      <c r="AV49" s="12">
        <v>813260468.87383401</v>
      </c>
      <c r="AW49" s="12">
        <v>924940011.83689702</v>
      </c>
      <c r="AX49" s="12">
        <v>972241676.90766203</v>
      </c>
      <c r="AY49" s="12">
        <v>1107571457.9061401</v>
      </c>
      <c r="AZ49" s="12">
        <v>1649621738.6368899</v>
      </c>
      <c r="BA49" s="12">
        <v>1959620648.3157799</v>
      </c>
      <c r="BB49" s="12">
        <v>1852334575.17521</v>
      </c>
      <c r="BC49" s="12">
        <v>1824751467.92957</v>
      </c>
      <c r="BD49" s="12">
        <v>2046817987.2010901</v>
      </c>
      <c r="BE49" s="12">
        <v>1913081210.4141099</v>
      </c>
      <c r="BF49" s="12">
        <v>2028910915.1644599</v>
      </c>
      <c r="BG49" s="12">
        <v>2041930125.42979</v>
      </c>
      <c r="BH49" s="12">
        <v>1749857620.3532901</v>
      </c>
      <c r="BI49" s="12">
        <v>1849789985.9957199</v>
      </c>
      <c r="BJ49" s="12">
        <v>1996741539.9508801</v>
      </c>
      <c r="BK49" s="12">
        <v>2205099506.9999399</v>
      </c>
      <c r="BL49" s="12">
        <v>2252177124.3240199</v>
      </c>
      <c r="BM49" s="12">
        <v>1821565613.68613</v>
      </c>
      <c r="BN49" s="12">
        <v>1997866378.7711899</v>
      </c>
      <c r="BO49" s="12">
        <v>2226862134.0878701</v>
      </c>
    </row>
    <row r="50" spans="1:67" x14ac:dyDescent="0.2">
      <c r="A50" s="12" t="s">
        <v>177</v>
      </c>
      <c r="B50" s="12" t="s">
        <v>176</v>
      </c>
      <c r="C50" s="12" t="s">
        <v>978</v>
      </c>
      <c r="D50" s="12" t="s">
        <v>979</v>
      </c>
      <c r="E50" s="12">
        <v>507513829.99485499</v>
      </c>
      <c r="F50" s="12">
        <v>490325181.61427498</v>
      </c>
      <c r="G50" s="12">
        <v>479180824.34850597</v>
      </c>
      <c r="H50" s="12">
        <v>511902136.809973</v>
      </c>
      <c r="I50" s="12">
        <v>542578367.24259806</v>
      </c>
      <c r="J50" s="12">
        <v>592981162.26415098</v>
      </c>
      <c r="K50" s="12">
        <v>647305630.18867898</v>
      </c>
      <c r="L50" s="12">
        <v>699456618.86792505</v>
      </c>
      <c r="M50" s="12">
        <v>773841494.33962297</v>
      </c>
      <c r="N50" s="12">
        <v>853630203.77358496</v>
      </c>
      <c r="O50" s="12">
        <v>984830158.49056602</v>
      </c>
      <c r="P50" s="12">
        <v>1077147537.52472</v>
      </c>
      <c r="Q50" s="12">
        <v>1238251695.55388</v>
      </c>
      <c r="R50" s="12">
        <v>1528925846.2546699</v>
      </c>
      <c r="S50" s="12">
        <v>1666544754.0983601</v>
      </c>
      <c r="T50" s="12">
        <v>1960863465.5776</v>
      </c>
      <c r="U50" s="12">
        <v>2412555425.9043198</v>
      </c>
      <c r="V50" s="12">
        <v>3072427012.8354702</v>
      </c>
      <c r="W50" s="12">
        <v>3523208809.80163</v>
      </c>
      <c r="X50" s="12">
        <v>4035519323.22054</v>
      </c>
      <c r="Y50" s="12">
        <v>4831447001.1668596</v>
      </c>
      <c r="Z50" s="12">
        <v>2623803095.7850099</v>
      </c>
      <c r="AA50" s="12">
        <v>2606623554.5658202</v>
      </c>
      <c r="AB50" s="12">
        <v>3146772630.7726302</v>
      </c>
      <c r="AC50" s="12">
        <v>3660477856.2297702</v>
      </c>
      <c r="AD50" s="12">
        <v>3919203960.39604</v>
      </c>
      <c r="AE50" s="12">
        <v>4418983870.9677401</v>
      </c>
      <c r="AF50" s="12">
        <v>4532952047.1562796</v>
      </c>
      <c r="AG50" s="12">
        <v>4614629898.4034796</v>
      </c>
      <c r="AH50" s="12">
        <v>5251025767.4762697</v>
      </c>
      <c r="AI50" s="12">
        <v>5711687786.7598896</v>
      </c>
      <c r="AJ50" s="12">
        <v>7196276092.4610004</v>
      </c>
      <c r="AK50" s="12">
        <v>8564041916.15275</v>
      </c>
      <c r="AL50" s="12">
        <v>9582868487.4321709</v>
      </c>
      <c r="AM50" s="12">
        <v>10486787008.0926</v>
      </c>
      <c r="AN50" s="12">
        <v>11578594259.8675</v>
      </c>
      <c r="AO50" s="12">
        <v>11678424507.245701</v>
      </c>
      <c r="AP50" s="12">
        <v>12614602382.2012</v>
      </c>
      <c r="AQ50" s="12">
        <v>13684255946.5765</v>
      </c>
      <c r="AR50" s="12">
        <v>14254866281.1537</v>
      </c>
      <c r="AS50" s="12">
        <v>15013629658.6521</v>
      </c>
      <c r="AT50" s="12">
        <v>15976174336.972099</v>
      </c>
      <c r="AU50" s="12">
        <v>16578820687.288099</v>
      </c>
      <c r="AV50" s="12">
        <v>17271760506.948299</v>
      </c>
      <c r="AW50" s="12">
        <v>18610594846.208302</v>
      </c>
      <c r="AX50" s="12">
        <v>20040642476.981701</v>
      </c>
      <c r="AY50" s="12">
        <v>22715540324.694401</v>
      </c>
      <c r="AZ50" s="12">
        <v>26884700344.840599</v>
      </c>
      <c r="BA50" s="12">
        <v>30801744881.950199</v>
      </c>
      <c r="BB50" s="12">
        <v>30745714312.990501</v>
      </c>
      <c r="BC50" s="12">
        <v>37658614803.848</v>
      </c>
      <c r="BD50" s="12">
        <v>42762613699.9524</v>
      </c>
      <c r="BE50" s="12">
        <v>47231655431.138901</v>
      </c>
      <c r="BF50" s="12">
        <v>50949668840.869202</v>
      </c>
      <c r="BG50" s="12">
        <v>52016408951.822502</v>
      </c>
      <c r="BH50" s="12">
        <v>56441920821.080597</v>
      </c>
      <c r="BI50" s="12">
        <v>58847019609.6549</v>
      </c>
      <c r="BJ50" s="12">
        <v>60516044657.225403</v>
      </c>
      <c r="BK50" s="12">
        <v>62420164991.537399</v>
      </c>
      <c r="BL50" s="12">
        <v>64417670521.184196</v>
      </c>
      <c r="BM50" s="12">
        <v>62395610760.391197</v>
      </c>
      <c r="BN50" s="12">
        <v>64960725734.236198</v>
      </c>
      <c r="BO50" s="12">
        <v>69243626028.669601</v>
      </c>
    </row>
    <row r="51" spans="1:67" x14ac:dyDescent="0.2">
      <c r="A51" s="12" t="s">
        <v>992</v>
      </c>
      <c r="B51" s="12" t="s">
        <v>993</v>
      </c>
      <c r="C51" s="12" t="s">
        <v>978</v>
      </c>
      <c r="D51" s="12" t="s">
        <v>979</v>
      </c>
      <c r="E51" s="12">
        <v>1880323270.32846</v>
      </c>
      <c r="F51" s="12">
        <v>2038320109.62081</v>
      </c>
      <c r="G51" s="12">
        <v>2153914775.5785999</v>
      </c>
      <c r="H51" s="12">
        <v>2290333704.2643299</v>
      </c>
      <c r="I51" s="12">
        <v>2470286396.1089702</v>
      </c>
      <c r="J51" s="12">
        <v>2661011039.8333201</v>
      </c>
      <c r="K51" s="12">
        <v>2888720383.6863499</v>
      </c>
      <c r="L51" s="12">
        <v>3102560430.5116701</v>
      </c>
      <c r="M51" s="12">
        <v>3083640785.8332801</v>
      </c>
      <c r="N51" s="12">
        <v>3359757126.3098998</v>
      </c>
      <c r="O51" s="12">
        <v>3695313510.6398902</v>
      </c>
      <c r="P51" s="12">
        <v>4017459619.7934599</v>
      </c>
      <c r="Q51" s="12">
        <v>4639336765.0814304</v>
      </c>
      <c r="R51" s="12">
        <v>5076146308.6151199</v>
      </c>
      <c r="S51" s="12">
        <v>6595573432.5508699</v>
      </c>
      <c r="T51" s="12">
        <v>7706924933.1274996</v>
      </c>
      <c r="U51" s="12">
        <v>7932351591.9308996</v>
      </c>
      <c r="V51" s="12">
        <v>9210519152.1901608</v>
      </c>
      <c r="W51" s="12">
        <v>9433730992.1004906</v>
      </c>
      <c r="X51" s="12">
        <v>10835454596.508101</v>
      </c>
      <c r="Y51" s="12">
        <v>13495237648.100201</v>
      </c>
      <c r="Z51" s="12">
        <v>14890283921.822901</v>
      </c>
      <c r="AA51" s="12">
        <v>16517790340.3855</v>
      </c>
      <c r="AB51" s="12">
        <v>16735544600.9098</v>
      </c>
      <c r="AC51" s="12">
        <v>15982824908.9487</v>
      </c>
      <c r="AD51" s="12">
        <v>15814763391.846399</v>
      </c>
      <c r="AE51" s="12">
        <v>14441262133.357</v>
      </c>
      <c r="AF51" s="12">
        <v>15521767249.6667</v>
      </c>
      <c r="AG51" s="12">
        <v>16459896532.2234</v>
      </c>
      <c r="AH51" s="12">
        <v>16872864985.2535</v>
      </c>
      <c r="AI51" s="12">
        <v>18145262491.291599</v>
      </c>
      <c r="AJ51" s="12">
        <v>18028768358.682701</v>
      </c>
      <c r="AK51" s="12">
        <v>17750479192.567902</v>
      </c>
      <c r="AL51" s="12">
        <v>19223181125.820702</v>
      </c>
      <c r="AM51" s="12">
        <v>20203342207.8666</v>
      </c>
      <c r="AN51" s="12">
        <v>22268849584.058201</v>
      </c>
      <c r="AO51" s="12">
        <v>24288307616.5238</v>
      </c>
      <c r="AP51" s="12">
        <v>28419094413.866798</v>
      </c>
      <c r="AQ51" s="12">
        <v>30366582090.502102</v>
      </c>
      <c r="AR51" s="12">
        <v>32208819361.665001</v>
      </c>
      <c r="AS51" s="12">
        <v>34552588845.519699</v>
      </c>
      <c r="AT51" s="12">
        <v>35580943997.609299</v>
      </c>
      <c r="AU51" s="12">
        <v>37331464587.901199</v>
      </c>
      <c r="AV51" s="12">
        <v>39893014716.3283</v>
      </c>
      <c r="AW51" s="12">
        <v>43630425959.246201</v>
      </c>
      <c r="AX51" s="12">
        <v>49313767403.281403</v>
      </c>
      <c r="AY51" s="12">
        <v>56077496592.994797</v>
      </c>
      <c r="AZ51" s="12">
        <v>62332145605.880402</v>
      </c>
      <c r="BA51" s="12">
        <v>70784637901.585297</v>
      </c>
      <c r="BB51" s="12">
        <v>59841390196.085602</v>
      </c>
      <c r="BC51" s="12">
        <v>64940854448.072701</v>
      </c>
      <c r="BD51" s="12">
        <v>70216293656.786194</v>
      </c>
      <c r="BE51" s="12">
        <v>74185116568.106293</v>
      </c>
      <c r="BF51" s="12">
        <v>75356800316.882294</v>
      </c>
      <c r="BG51" s="12">
        <v>77059089418.856506</v>
      </c>
      <c r="BH51" s="12">
        <v>75749012501.587097</v>
      </c>
      <c r="BI51" s="12">
        <v>71240254843.980698</v>
      </c>
      <c r="BJ51" s="12">
        <v>73779107435.150803</v>
      </c>
      <c r="BK51" s="12">
        <v>76540797383.558899</v>
      </c>
      <c r="BL51" s="12">
        <v>77253744414.728897</v>
      </c>
      <c r="BM51" s="12">
        <v>65860096129.8181</v>
      </c>
      <c r="BN51" s="12">
        <v>76123490342.538101</v>
      </c>
      <c r="BO51" s="12">
        <v>94867024971.912903</v>
      </c>
    </row>
    <row r="52" spans="1:67" x14ac:dyDescent="0.2">
      <c r="A52" s="12" t="s">
        <v>175</v>
      </c>
      <c r="B52" s="12" t="s">
        <v>174</v>
      </c>
      <c r="C52" s="12" t="s">
        <v>978</v>
      </c>
      <c r="D52" s="12" t="s">
        <v>979</v>
      </c>
      <c r="O52" s="12">
        <v>5693005200</v>
      </c>
      <c r="P52" s="12">
        <v>6914658400</v>
      </c>
      <c r="Q52" s="12">
        <v>8135150891.9202499</v>
      </c>
      <c r="R52" s="12">
        <v>9987709650.1809406</v>
      </c>
      <c r="S52" s="12">
        <v>11405957317.0732</v>
      </c>
      <c r="T52" s="12">
        <v>13027415243.902399</v>
      </c>
      <c r="U52" s="12">
        <v>13789579902.557899</v>
      </c>
      <c r="V52" s="12">
        <v>14206158674.698799</v>
      </c>
      <c r="W52" s="12">
        <v>17844705324.675301</v>
      </c>
      <c r="X52" s="12">
        <v>19584443287.6712</v>
      </c>
      <c r="Y52" s="12">
        <v>19912889861.111099</v>
      </c>
      <c r="Z52" s="12">
        <v>20150254096.385502</v>
      </c>
      <c r="AA52" s="12">
        <v>20953510235.294102</v>
      </c>
      <c r="AB52" s="12">
        <v>22204940512.223499</v>
      </c>
      <c r="AC52" s="12">
        <v>24039383608.4235</v>
      </c>
      <c r="AD52" s="12">
        <v>22920490774.102001</v>
      </c>
      <c r="AE52" s="12">
        <v>24226574634.029301</v>
      </c>
      <c r="AF52" s="12">
        <v>25213935012.081902</v>
      </c>
      <c r="AG52" s="12">
        <v>27458999472.295502</v>
      </c>
      <c r="AH52" s="12">
        <v>27023468665.897701</v>
      </c>
      <c r="AI52" s="12">
        <v>28645436569.148899</v>
      </c>
      <c r="AJ52" s="12">
        <v>24316556025.658501</v>
      </c>
      <c r="AK52" s="12">
        <v>22085858243.243198</v>
      </c>
      <c r="AL52" s="12">
        <v>22367254864.864899</v>
      </c>
      <c r="AM52" s="12">
        <v>28448326756.756802</v>
      </c>
      <c r="AN52" s="12">
        <v>30429803651.2192</v>
      </c>
      <c r="AO52" s="12">
        <v>25017368700</v>
      </c>
      <c r="AP52" s="12">
        <v>25365908100</v>
      </c>
      <c r="AQ52" s="12">
        <v>25736331200</v>
      </c>
      <c r="AR52" s="12">
        <v>28364615200</v>
      </c>
      <c r="AS52" s="12">
        <v>30565400000</v>
      </c>
      <c r="AT52" s="12">
        <v>31682400000</v>
      </c>
      <c r="AU52" s="12">
        <v>33590500000</v>
      </c>
      <c r="AV52" s="12">
        <v>35901200000</v>
      </c>
      <c r="AW52" s="12">
        <v>38203000000</v>
      </c>
      <c r="AX52" s="12">
        <v>42643836100</v>
      </c>
      <c r="AY52" s="12">
        <v>48835925925.925903</v>
      </c>
      <c r="AZ52" s="12">
        <v>54262870370.370399</v>
      </c>
      <c r="BA52" s="12">
        <v>56302129629.629601</v>
      </c>
      <c r="BB52" s="12">
        <v>57481481481.481499</v>
      </c>
      <c r="BC52" s="12">
        <v>59562962962.962997</v>
      </c>
      <c r="BD52" s="12">
        <v>68990000000</v>
      </c>
      <c r="BE52" s="12">
        <v>73141000000</v>
      </c>
      <c r="BF52" s="12">
        <v>77148000000</v>
      </c>
      <c r="BG52" s="12">
        <v>80656100000</v>
      </c>
      <c r="BH52" s="12">
        <v>87132800000</v>
      </c>
      <c r="BI52" s="12">
        <v>91370407863.699997</v>
      </c>
      <c r="BJ52" s="12">
        <v>96850649691.740601</v>
      </c>
      <c r="BK52" s="12">
        <v>100050036096.123</v>
      </c>
      <c r="BL52" s="12">
        <v>103427600000</v>
      </c>
      <c r="BM52" s="12">
        <v>107351800000</v>
      </c>
    </row>
    <row r="53" spans="1:67" x14ac:dyDescent="0.2">
      <c r="A53" s="12" t="s">
        <v>994</v>
      </c>
      <c r="B53" s="12" t="s">
        <v>995</v>
      </c>
      <c r="C53" s="12" t="s">
        <v>978</v>
      </c>
      <c r="D53" s="12" t="s">
        <v>979</v>
      </c>
      <c r="BD53" s="12">
        <v>2930092237.2716098</v>
      </c>
      <c r="BE53" s="12">
        <v>3012836256.5552301</v>
      </c>
      <c r="BF53" s="12">
        <v>3033568606.1665101</v>
      </c>
      <c r="BG53" s="12">
        <v>3059406995.3966599</v>
      </c>
      <c r="BH53" s="12">
        <v>3058779211.8983102</v>
      </c>
      <c r="BI53" s="12">
        <v>3024690188.01683</v>
      </c>
      <c r="BJ53" s="12">
        <v>3033433248.1598802</v>
      </c>
      <c r="BK53" s="12">
        <v>3046364819.53197</v>
      </c>
      <c r="BL53" s="12">
        <v>3026124115.7327499</v>
      </c>
      <c r="BM53" s="12">
        <v>2534327592.4991398</v>
      </c>
      <c r="BN53" s="12">
        <v>2739594359.5907998</v>
      </c>
      <c r="BO53" s="12">
        <v>3075180834.7241702</v>
      </c>
    </row>
    <row r="54" spans="1:67" x14ac:dyDescent="0.2">
      <c r="A54" s="12" t="s">
        <v>904</v>
      </c>
      <c r="B54" s="12" t="s">
        <v>996</v>
      </c>
      <c r="C54" s="12" t="s">
        <v>978</v>
      </c>
      <c r="D54" s="12" t="s">
        <v>979</v>
      </c>
      <c r="AY54" s="12">
        <v>4200288241.1529598</v>
      </c>
      <c r="AZ54" s="12">
        <v>4466278065.1122599</v>
      </c>
      <c r="BA54" s="12">
        <v>4585949023.7960901</v>
      </c>
      <c r="BB54" s="12">
        <v>4281714566.8582702</v>
      </c>
      <c r="BC54" s="12">
        <v>4156841107.36443</v>
      </c>
      <c r="BD54" s="12">
        <v>4186073104.2924199</v>
      </c>
      <c r="BE54" s="12">
        <v>4291004524.0180998</v>
      </c>
      <c r="BF54" s="12">
        <v>4405796023.1840897</v>
      </c>
      <c r="BG54" s="12">
        <v>4562853611.4144497</v>
      </c>
      <c r="BH54" s="12">
        <v>4708167232.6689301</v>
      </c>
      <c r="BI54" s="12">
        <v>4909322237.28895</v>
      </c>
      <c r="BJ54" s="12">
        <v>5166281305.1252203</v>
      </c>
      <c r="BK54" s="12">
        <v>5530178440.7137604</v>
      </c>
      <c r="BL54" s="12">
        <v>5941896607.5864296</v>
      </c>
      <c r="BM54" s="12">
        <v>5647224988.8999596</v>
      </c>
      <c r="BN54" s="12">
        <v>6028373513.49405</v>
      </c>
      <c r="BO54" s="12">
        <v>6844827379.3095198</v>
      </c>
    </row>
    <row r="55" spans="1:67" x14ac:dyDescent="0.2">
      <c r="A55" s="12" t="s">
        <v>47</v>
      </c>
      <c r="B55" s="12" t="s">
        <v>46</v>
      </c>
      <c r="C55" s="12" t="s">
        <v>978</v>
      </c>
      <c r="D55" s="12" t="s">
        <v>979</v>
      </c>
      <c r="T55" s="12">
        <v>489914760.68280703</v>
      </c>
      <c r="U55" s="12">
        <v>576090073.71503603</v>
      </c>
      <c r="V55" s="12">
        <v>734887973.975806</v>
      </c>
      <c r="W55" s="12">
        <v>964026512.19783902</v>
      </c>
      <c r="X55" s="12">
        <v>1288715209.5808401</v>
      </c>
      <c r="Y55" s="12">
        <v>2154311276.9485898</v>
      </c>
      <c r="Z55" s="12">
        <v>2087496373.77964</v>
      </c>
      <c r="AA55" s="12">
        <v>2159242416.7694201</v>
      </c>
      <c r="AB55" s="12">
        <v>2160364071.1902099</v>
      </c>
      <c r="AC55" s="12">
        <v>2278248953.1405802</v>
      </c>
      <c r="AD55" s="12">
        <v>2430411900.1919398</v>
      </c>
      <c r="AE55" s="12">
        <v>3090734463.2768402</v>
      </c>
      <c r="AF55" s="12">
        <v>3704813885.5054798</v>
      </c>
      <c r="AG55" s="12">
        <v>4278792597.2396498</v>
      </c>
      <c r="AH55" s="12">
        <v>4563482603.5502996</v>
      </c>
      <c r="AI55" s="12">
        <v>5591130217.6696501</v>
      </c>
      <c r="AJ55" s="12">
        <v>5770197348.4848499</v>
      </c>
      <c r="AK55" s="12">
        <v>6912150456.3233404</v>
      </c>
      <c r="AL55" s="12">
        <v>6590291048.2921104</v>
      </c>
      <c r="AM55" s="12">
        <v>7425703928.5714302</v>
      </c>
      <c r="AN55" s="12">
        <v>9933133247.0892601</v>
      </c>
      <c r="AO55" s="12">
        <v>10011918444.1656</v>
      </c>
      <c r="AP55" s="12">
        <v>9547818700.1140308</v>
      </c>
      <c r="AQ55" s="12">
        <v>10248617647.0588</v>
      </c>
      <c r="AR55" s="12">
        <v>10497908306.364599</v>
      </c>
      <c r="AS55" s="12">
        <v>9985844486.3336506</v>
      </c>
      <c r="AT55" s="12">
        <v>10397897085.610201</v>
      </c>
      <c r="AU55" s="12">
        <v>11420227884.6154</v>
      </c>
      <c r="AV55" s="12">
        <v>14547325028.312599</v>
      </c>
      <c r="AW55" s="12">
        <v>17320552500</v>
      </c>
      <c r="AX55" s="12">
        <v>18433411267.255299</v>
      </c>
      <c r="AY55" s="12">
        <v>20072786350.520599</v>
      </c>
      <c r="AZ55" s="12">
        <v>23968764029.564701</v>
      </c>
      <c r="BA55" s="12">
        <v>27844698989.307201</v>
      </c>
      <c r="BB55" s="12">
        <v>25945391775.493198</v>
      </c>
      <c r="BC55" s="12">
        <v>25732125693.847</v>
      </c>
      <c r="BD55" s="12">
        <v>27564931919.478199</v>
      </c>
      <c r="BE55" s="12">
        <v>24977293926.289101</v>
      </c>
      <c r="BF55" s="12">
        <v>23899444182.509998</v>
      </c>
      <c r="BG55" s="12">
        <v>23155988617.402302</v>
      </c>
      <c r="BH55" s="12">
        <v>19842492366.547699</v>
      </c>
      <c r="BI55" s="12">
        <v>20952955488.083599</v>
      </c>
      <c r="BJ55" s="12">
        <v>22870678689.480202</v>
      </c>
      <c r="BK55" s="12">
        <v>25523485042.626499</v>
      </c>
      <c r="BL55" s="12">
        <v>25947027570.426201</v>
      </c>
      <c r="BM55" s="12">
        <v>25227201184.2295</v>
      </c>
      <c r="BN55" s="12">
        <v>29482917678.895401</v>
      </c>
      <c r="BO55" s="12">
        <v>29250524418.085499</v>
      </c>
    </row>
    <row r="56" spans="1:67" x14ac:dyDescent="0.2">
      <c r="A56" s="12" t="s">
        <v>53</v>
      </c>
      <c r="B56" s="12" t="s">
        <v>52</v>
      </c>
      <c r="C56" s="12" t="s">
        <v>978</v>
      </c>
      <c r="D56" s="12" t="s">
        <v>979</v>
      </c>
      <c r="AI56" s="12">
        <v>40728950704.617599</v>
      </c>
      <c r="AJ56" s="12">
        <v>29859921158.869598</v>
      </c>
      <c r="AK56" s="12">
        <v>34805013229.571999</v>
      </c>
      <c r="AL56" s="12">
        <v>40866748705.107498</v>
      </c>
      <c r="AM56" s="12">
        <v>47850203856.175102</v>
      </c>
      <c r="AN56" s="12">
        <v>60147174076.865097</v>
      </c>
      <c r="AO56" s="12">
        <v>67387788632.981201</v>
      </c>
      <c r="AP56" s="12">
        <v>62180159376.123901</v>
      </c>
      <c r="AQ56" s="12">
        <v>66807429711.411003</v>
      </c>
      <c r="AR56" s="12">
        <v>65173130995.221199</v>
      </c>
      <c r="AS56" s="12">
        <v>61828166496.094101</v>
      </c>
      <c r="AT56" s="12">
        <v>67808032979.5429</v>
      </c>
      <c r="AU56" s="12">
        <v>82196001050.747406</v>
      </c>
      <c r="AV56" s="12">
        <v>100090467581.26801</v>
      </c>
      <c r="AW56" s="12">
        <v>119814434353.575</v>
      </c>
      <c r="AX56" s="12">
        <v>137143471328.274</v>
      </c>
      <c r="AY56" s="12">
        <v>156264095664.64301</v>
      </c>
      <c r="AZ56" s="12">
        <v>190183800884.01801</v>
      </c>
      <c r="BA56" s="12">
        <v>236816485762.98801</v>
      </c>
      <c r="BB56" s="12">
        <v>207434296805.32999</v>
      </c>
      <c r="BC56" s="12">
        <v>209069940963.177</v>
      </c>
      <c r="BD56" s="12">
        <v>229562733398.948</v>
      </c>
      <c r="BE56" s="12">
        <v>208857719320.64899</v>
      </c>
      <c r="BF56" s="12">
        <v>211685616592.931</v>
      </c>
      <c r="BG56" s="12">
        <v>209358834156.32901</v>
      </c>
      <c r="BH56" s="12">
        <v>188033050459.88101</v>
      </c>
      <c r="BI56" s="12">
        <v>196272068576.33801</v>
      </c>
      <c r="BJ56" s="12">
        <v>218628940951.67499</v>
      </c>
      <c r="BK56" s="12">
        <v>249000540729.17899</v>
      </c>
      <c r="BL56" s="12">
        <v>252548179964.897</v>
      </c>
      <c r="BM56" s="12">
        <v>245974558654.043</v>
      </c>
      <c r="BN56" s="12">
        <v>281791218507.09998</v>
      </c>
      <c r="BO56" s="12">
        <v>290565654835.80902</v>
      </c>
    </row>
    <row r="57" spans="1:67" x14ac:dyDescent="0.2">
      <c r="A57" s="12" t="s">
        <v>29</v>
      </c>
      <c r="B57" s="12" t="s">
        <v>28</v>
      </c>
      <c r="C57" s="12" t="s">
        <v>978</v>
      </c>
      <c r="D57" s="12" t="s">
        <v>979</v>
      </c>
      <c r="O57" s="12">
        <v>215838448137.65799</v>
      </c>
      <c r="P57" s="12">
        <v>249985055484.30301</v>
      </c>
      <c r="Q57" s="12">
        <v>299801542047.47601</v>
      </c>
      <c r="R57" s="12">
        <v>398374021953.89697</v>
      </c>
      <c r="S57" s="12">
        <v>445303484241.55402</v>
      </c>
      <c r="T57" s="12">
        <v>490636517211.22498</v>
      </c>
      <c r="U57" s="12">
        <v>519754453161.41101</v>
      </c>
      <c r="V57" s="12">
        <v>600498238019.03503</v>
      </c>
      <c r="W57" s="12">
        <v>740469983446.93298</v>
      </c>
      <c r="X57" s="12">
        <v>881345176608.68604</v>
      </c>
      <c r="Y57" s="12">
        <v>950290856466.53796</v>
      </c>
      <c r="Z57" s="12">
        <v>800472055387.27795</v>
      </c>
      <c r="AA57" s="12">
        <v>776576439106.95605</v>
      </c>
      <c r="AB57" s="12">
        <v>770684323247.79797</v>
      </c>
      <c r="AC57" s="12">
        <v>725111123634.11499</v>
      </c>
      <c r="AD57" s="12">
        <v>732534887058.198</v>
      </c>
      <c r="AE57" s="12">
        <v>1046259374943.71</v>
      </c>
      <c r="AF57" s="12">
        <v>1298176105549.51</v>
      </c>
      <c r="AG57" s="12">
        <v>1401233225303.49</v>
      </c>
      <c r="AH57" s="12">
        <v>1398967436804.3301</v>
      </c>
      <c r="AI57" s="12">
        <v>1771671206875.6799</v>
      </c>
      <c r="AJ57" s="12">
        <v>1868945197407.1899</v>
      </c>
      <c r="AK57" s="12">
        <v>2131571696931.75</v>
      </c>
      <c r="AL57" s="12">
        <v>2071323790370.28</v>
      </c>
      <c r="AM57" s="12">
        <v>2205074123177.0498</v>
      </c>
      <c r="AN57" s="12">
        <v>2585792275146.7202</v>
      </c>
      <c r="AO57" s="12">
        <v>2497244606186.6401</v>
      </c>
      <c r="AP57" s="12">
        <v>2211989623279.9502</v>
      </c>
      <c r="AQ57" s="12">
        <v>2238990774702.6802</v>
      </c>
      <c r="AR57" s="12">
        <v>2194945278872.5901</v>
      </c>
      <c r="AS57" s="12">
        <v>1947981991011.77</v>
      </c>
      <c r="AT57" s="12">
        <v>1945790973803.1499</v>
      </c>
      <c r="AU57" s="12">
        <v>2078484517474.51</v>
      </c>
      <c r="AV57" s="12">
        <v>2501640388482.3501</v>
      </c>
      <c r="AW57" s="12">
        <v>2814353869359.0801</v>
      </c>
      <c r="AX57" s="12">
        <v>2846864211175.1001</v>
      </c>
      <c r="AY57" s="12">
        <v>2994703642023.5298</v>
      </c>
      <c r="AZ57" s="12">
        <v>3425578382921.5801</v>
      </c>
      <c r="BA57" s="12">
        <v>3745264093617.1899</v>
      </c>
      <c r="BB57" s="12">
        <v>3411261212652.3398</v>
      </c>
      <c r="BC57" s="12">
        <v>3399667820000.0098</v>
      </c>
      <c r="BD57" s="12">
        <v>3749314991050.5898</v>
      </c>
      <c r="BE57" s="12">
        <v>3527143188785.1602</v>
      </c>
      <c r="BF57" s="12">
        <v>3733804649549.0298</v>
      </c>
      <c r="BG57" s="12">
        <v>3889093051023.52</v>
      </c>
      <c r="BH57" s="12">
        <v>3357585719351.5601</v>
      </c>
      <c r="BI57" s="12">
        <v>3469853463945.5298</v>
      </c>
      <c r="BJ57" s="12">
        <v>3690849152517.6499</v>
      </c>
      <c r="BK57" s="12">
        <v>3974443355019.6001</v>
      </c>
      <c r="BL57" s="12">
        <v>3889177589254.8999</v>
      </c>
      <c r="BM57" s="12">
        <v>3887727161914.4102</v>
      </c>
      <c r="BN57" s="12">
        <v>4278503934689.8501</v>
      </c>
      <c r="BO57" s="12">
        <v>4082469490797.6802</v>
      </c>
    </row>
    <row r="58" spans="1:67" x14ac:dyDescent="0.2">
      <c r="A58" s="12" t="s">
        <v>307</v>
      </c>
      <c r="B58" s="12" t="s">
        <v>306</v>
      </c>
      <c r="C58" s="12" t="s">
        <v>978</v>
      </c>
      <c r="D58" s="12" t="s">
        <v>979</v>
      </c>
      <c r="AD58" s="12">
        <v>340989527.96799499</v>
      </c>
      <c r="AF58" s="12">
        <v>373371738.28641498</v>
      </c>
      <c r="AG58" s="12">
        <v>395794538.63077497</v>
      </c>
      <c r="AH58" s="12">
        <v>409220087.10281801</v>
      </c>
      <c r="AI58" s="12">
        <v>452328087.28287601</v>
      </c>
      <c r="AJ58" s="12">
        <v>462421998.52577901</v>
      </c>
      <c r="AK58" s="12">
        <v>478058304.87111801</v>
      </c>
      <c r="AL58" s="12">
        <v>466048469.22986001</v>
      </c>
      <c r="AM58" s="12">
        <v>491689220.74487501</v>
      </c>
      <c r="AN58" s="12">
        <v>497723960.58991301</v>
      </c>
      <c r="AO58" s="12">
        <v>494004647.73436999</v>
      </c>
      <c r="AP58" s="12">
        <v>502675542.00122702</v>
      </c>
      <c r="AQ58" s="12">
        <v>514267869.300758</v>
      </c>
      <c r="AR58" s="12">
        <v>536080148.09729898</v>
      </c>
      <c r="AS58" s="12">
        <v>551230861.85650504</v>
      </c>
      <c r="AT58" s="12">
        <v>572417440.82016206</v>
      </c>
      <c r="AU58" s="12">
        <v>591122039.60139799</v>
      </c>
      <c r="AV58" s="12">
        <v>622044665.51504898</v>
      </c>
      <c r="AW58" s="12">
        <v>666072101.77750504</v>
      </c>
      <c r="AX58" s="12">
        <v>708633194.72656596</v>
      </c>
      <c r="AY58" s="12">
        <v>768873684.03283799</v>
      </c>
      <c r="AZ58" s="12">
        <v>847918929.10798395</v>
      </c>
      <c r="BA58" s="12">
        <v>999105339.26772904</v>
      </c>
      <c r="BB58" s="12">
        <v>1049110684.72493</v>
      </c>
      <c r="BC58" s="12">
        <v>1128611700.3618</v>
      </c>
      <c r="BD58" s="12">
        <v>1239144501.77525</v>
      </c>
      <c r="BE58" s="12">
        <v>1353632941.5207</v>
      </c>
      <c r="BF58" s="12">
        <v>2042817162.85639</v>
      </c>
      <c r="BG58" s="12">
        <v>2214679081.2565799</v>
      </c>
      <c r="BH58" s="12">
        <v>2424391785.4389701</v>
      </c>
      <c r="BI58" s="12">
        <v>2604955228.70117</v>
      </c>
      <c r="BJ58" s="12">
        <v>2762581334.22612</v>
      </c>
      <c r="BK58" s="12">
        <v>2913466732.1250701</v>
      </c>
      <c r="BL58" s="12">
        <v>3088853638.5683198</v>
      </c>
      <c r="BM58" s="12">
        <v>3185150981.0320702</v>
      </c>
      <c r="BN58" s="12">
        <v>3385825228.8699698</v>
      </c>
      <c r="BO58" s="12">
        <v>3515108859.9546499</v>
      </c>
    </row>
    <row r="59" spans="1:67" x14ac:dyDescent="0.2">
      <c r="A59" s="12" t="s">
        <v>343</v>
      </c>
      <c r="B59" s="12" t="s">
        <v>342</v>
      </c>
      <c r="C59" s="12" t="s">
        <v>978</v>
      </c>
      <c r="D59" s="12" t="s">
        <v>979</v>
      </c>
      <c r="V59" s="12">
        <v>45872947.407407403</v>
      </c>
      <c r="W59" s="12">
        <v>57130215.555555597</v>
      </c>
      <c r="X59" s="12">
        <v>55017758.888888903</v>
      </c>
      <c r="Y59" s="12">
        <v>72804653.333333299</v>
      </c>
      <c r="Z59" s="12">
        <v>82107391.111111104</v>
      </c>
      <c r="AA59" s="12">
        <v>89527576.666666701</v>
      </c>
      <c r="AB59" s="12">
        <v>98665191.481481507</v>
      </c>
      <c r="AC59" s="12">
        <v>109157070.740741</v>
      </c>
      <c r="AD59" s="12">
        <v>119491932.962963</v>
      </c>
      <c r="AE59" s="12">
        <v>135161958.51851901</v>
      </c>
      <c r="AF59" s="12">
        <v>151868754.444444</v>
      </c>
      <c r="AG59" s="12">
        <v>171106184.074074</v>
      </c>
      <c r="AH59" s="12">
        <v>185137242.96296301</v>
      </c>
      <c r="AI59" s="12">
        <v>201429629.62963</v>
      </c>
      <c r="AJ59" s="12">
        <v>219762962.96296301</v>
      </c>
      <c r="AK59" s="12">
        <v>234059259.25925899</v>
      </c>
      <c r="AL59" s="12">
        <v>245525925.925926</v>
      </c>
      <c r="AM59" s="12">
        <v>264374074.074074</v>
      </c>
      <c r="AN59" s="12">
        <v>274522222.22222197</v>
      </c>
      <c r="AO59" s="12">
        <v>292285185.18518502</v>
      </c>
      <c r="AP59" s="12">
        <v>302988888.88888901</v>
      </c>
      <c r="AQ59" s="12">
        <v>322411111.11111099</v>
      </c>
      <c r="AR59" s="12">
        <v>331759259.25925899</v>
      </c>
      <c r="AS59" s="12">
        <v>333470370.37036997</v>
      </c>
      <c r="AT59" s="12">
        <v>340203703.703704</v>
      </c>
      <c r="AU59" s="12">
        <v>333196296.296296</v>
      </c>
      <c r="AV59" s="12">
        <v>343311111.11111099</v>
      </c>
      <c r="AW59" s="12">
        <v>367200000</v>
      </c>
      <c r="AX59" s="12">
        <v>364255555.555556</v>
      </c>
      <c r="AY59" s="12">
        <v>390251851.851852</v>
      </c>
      <c r="AZ59" s="12">
        <v>421374074.07407397</v>
      </c>
      <c r="BA59" s="12">
        <v>458188888.88888901</v>
      </c>
      <c r="BB59" s="12">
        <v>489074074.07407397</v>
      </c>
      <c r="BC59" s="12">
        <v>493825925.92592603</v>
      </c>
      <c r="BD59" s="12">
        <v>501025925.92592603</v>
      </c>
      <c r="BE59" s="12">
        <v>485996296.296296</v>
      </c>
      <c r="BF59" s="12">
        <v>498296296.296296</v>
      </c>
      <c r="BG59" s="12">
        <v>520429629.62963003</v>
      </c>
      <c r="BH59" s="12">
        <v>540737037.03703701</v>
      </c>
      <c r="BI59" s="12">
        <v>576229629.62962997</v>
      </c>
      <c r="BJ59" s="12">
        <v>521551851.851852</v>
      </c>
      <c r="BK59" s="12">
        <v>554770370.37037003</v>
      </c>
      <c r="BL59" s="12">
        <v>611537037.03703701</v>
      </c>
      <c r="BM59" s="12">
        <v>504214814.81481498</v>
      </c>
      <c r="BN59" s="12">
        <v>555266666.66666698</v>
      </c>
      <c r="BO59" s="12">
        <v>607440740.74074101</v>
      </c>
    </row>
    <row r="60" spans="1:67" x14ac:dyDescent="0.2">
      <c r="A60" s="12" t="s">
        <v>19</v>
      </c>
      <c r="B60" s="12" t="s">
        <v>18</v>
      </c>
      <c r="C60" s="12" t="s">
        <v>978</v>
      </c>
      <c r="D60" s="12" t="s">
        <v>979</v>
      </c>
      <c r="K60" s="12">
        <v>11931739858.704599</v>
      </c>
      <c r="L60" s="12">
        <v>13059064374.6287</v>
      </c>
      <c r="M60" s="12">
        <v>13505573866.6667</v>
      </c>
      <c r="N60" s="12">
        <v>15414902266.6667</v>
      </c>
      <c r="O60" s="12">
        <v>17075457600</v>
      </c>
      <c r="P60" s="12">
        <v>19085731252.440701</v>
      </c>
      <c r="Q60" s="12">
        <v>23232379951.937599</v>
      </c>
      <c r="R60" s="12">
        <v>30730626663.3606</v>
      </c>
      <c r="S60" s="12">
        <v>34160444798.109901</v>
      </c>
      <c r="T60" s="12">
        <v>40474406216.282097</v>
      </c>
      <c r="U60" s="12">
        <v>44575892473.118301</v>
      </c>
      <c r="V60" s="12">
        <v>49784338519.456299</v>
      </c>
      <c r="W60" s="12">
        <v>60362931853.624901</v>
      </c>
      <c r="X60" s="12">
        <v>70366241969.207397</v>
      </c>
      <c r="Y60" s="12">
        <v>71127528699.941406</v>
      </c>
      <c r="Z60" s="12">
        <v>61877813965.241302</v>
      </c>
      <c r="AA60" s="12">
        <v>60412844678.603996</v>
      </c>
      <c r="AB60" s="12">
        <v>60644782176.052498</v>
      </c>
      <c r="AC60" s="12">
        <v>59105236853.793701</v>
      </c>
      <c r="AD60" s="12">
        <v>62658568287.342903</v>
      </c>
      <c r="AE60" s="12">
        <v>88078760103.819107</v>
      </c>
      <c r="AF60" s="12">
        <v>109414423928.77499</v>
      </c>
      <c r="AG60" s="12">
        <v>115552846616.653</v>
      </c>
      <c r="AH60" s="12">
        <v>112409222182.70399</v>
      </c>
      <c r="AI60" s="12">
        <v>138247285815.85501</v>
      </c>
      <c r="AJ60" s="12">
        <v>139224688814.19501</v>
      </c>
      <c r="AK60" s="12">
        <v>152915654478.88501</v>
      </c>
      <c r="AL60" s="12">
        <v>143195627014.60501</v>
      </c>
      <c r="AM60" s="12">
        <v>156162386724.52301</v>
      </c>
      <c r="AN60" s="12">
        <v>185006881515.065</v>
      </c>
      <c r="AO60" s="12">
        <v>187632346387.983</v>
      </c>
      <c r="AP60" s="12">
        <v>173537647058.82401</v>
      </c>
      <c r="AQ60" s="12">
        <v>176991934992.83701</v>
      </c>
      <c r="AR60" s="12">
        <v>177965188354.69199</v>
      </c>
      <c r="AS60" s="12">
        <v>164158739097.62299</v>
      </c>
      <c r="AT60" s="12">
        <v>164791442543.375</v>
      </c>
      <c r="AU60" s="12">
        <v>178635163717.431</v>
      </c>
      <c r="AV60" s="12">
        <v>218096033517.009</v>
      </c>
      <c r="AW60" s="12">
        <v>251373002954.38199</v>
      </c>
      <c r="AX60" s="12">
        <v>264467336457.17001</v>
      </c>
      <c r="AY60" s="12">
        <v>282884947702.966</v>
      </c>
      <c r="AZ60" s="12">
        <v>319423424509.06598</v>
      </c>
      <c r="BA60" s="12">
        <v>353361038818.383</v>
      </c>
      <c r="BB60" s="12">
        <v>321241303699.00598</v>
      </c>
      <c r="BC60" s="12">
        <v>321995279401.50201</v>
      </c>
      <c r="BD60" s="12">
        <v>344003137611.271</v>
      </c>
      <c r="BE60" s="12">
        <v>327148943812.13702</v>
      </c>
      <c r="BF60" s="12">
        <v>343584391647.927</v>
      </c>
      <c r="BG60" s="12">
        <v>352993631617.70801</v>
      </c>
      <c r="BH60" s="12">
        <v>302673070846.85699</v>
      </c>
      <c r="BI60" s="12">
        <v>313115929314.33899</v>
      </c>
      <c r="BJ60" s="12">
        <v>332121063806.39099</v>
      </c>
      <c r="BK60" s="12">
        <v>356841216410.06799</v>
      </c>
      <c r="BL60" s="12">
        <v>346498737961.63501</v>
      </c>
      <c r="BM60" s="12">
        <v>354762748338.66101</v>
      </c>
      <c r="BN60" s="12">
        <v>405687998852.69098</v>
      </c>
      <c r="BO60" s="12">
        <v>400167196948.70697</v>
      </c>
    </row>
    <row r="61" spans="1:67" x14ac:dyDescent="0.2">
      <c r="A61" s="12" t="s">
        <v>191</v>
      </c>
      <c r="B61" s="12" t="s">
        <v>190</v>
      </c>
      <c r="C61" s="12" t="s">
        <v>978</v>
      </c>
      <c r="D61" s="12" t="s">
        <v>979</v>
      </c>
      <c r="E61" s="12">
        <v>672399700</v>
      </c>
      <c r="F61" s="12">
        <v>654100200</v>
      </c>
      <c r="G61" s="12">
        <v>824100000</v>
      </c>
      <c r="H61" s="12">
        <v>940799900</v>
      </c>
      <c r="I61" s="12">
        <v>1025599900</v>
      </c>
      <c r="J61" s="12">
        <v>888100000</v>
      </c>
      <c r="K61" s="12">
        <v>983900000</v>
      </c>
      <c r="L61" s="12">
        <v>1034800000</v>
      </c>
      <c r="M61" s="12">
        <v>1079100000</v>
      </c>
      <c r="N61" s="12">
        <v>1230500000</v>
      </c>
      <c r="O61" s="12">
        <v>1485500000</v>
      </c>
      <c r="P61" s="12">
        <v>1666500000</v>
      </c>
      <c r="Q61" s="12">
        <v>1987400000</v>
      </c>
      <c r="R61" s="12">
        <v>2344800000</v>
      </c>
      <c r="S61" s="12">
        <v>2925700000</v>
      </c>
      <c r="T61" s="12">
        <v>3599200000</v>
      </c>
      <c r="U61" s="12">
        <v>3951500000</v>
      </c>
      <c r="V61" s="12">
        <v>4587100000</v>
      </c>
      <c r="W61" s="12">
        <v>4734400000</v>
      </c>
      <c r="X61" s="12">
        <v>5498800000</v>
      </c>
      <c r="Y61" s="12">
        <v>6761300000</v>
      </c>
      <c r="Z61" s="12">
        <v>7561300000</v>
      </c>
      <c r="AA61" s="12">
        <v>8267400000</v>
      </c>
      <c r="AB61" s="12">
        <v>9220600000</v>
      </c>
      <c r="AC61" s="12">
        <v>11594000000</v>
      </c>
      <c r="AD61" s="12">
        <v>5044579979.2328501</v>
      </c>
      <c r="AE61" s="12">
        <v>6122128557.5724297</v>
      </c>
      <c r="AF61" s="12">
        <v>5827050753.2593699</v>
      </c>
      <c r="AG61" s="12">
        <v>5374299981.4969797</v>
      </c>
      <c r="AH61" s="12">
        <v>6686593059.9369097</v>
      </c>
      <c r="AI61" s="12">
        <v>7073675544.7902098</v>
      </c>
      <c r="AJ61" s="12">
        <v>9824483339.9451809</v>
      </c>
      <c r="AK61" s="12">
        <v>11605382504</v>
      </c>
      <c r="AL61" s="12">
        <v>13081042400</v>
      </c>
      <c r="AM61" s="12">
        <v>14644734599.4778</v>
      </c>
      <c r="AN61" s="12">
        <v>16637370839.160801</v>
      </c>
      <c r="AO61" s="12">
        <v>18241622547.590801</v>
      </c>
      <c r="AP61" s="12">
        <v>20017450041.307499</v>
      </c>
      <c r="AQ61" s="12">
        <v>21672215546.764198</v>
      </c>
      <c r="AR61" s="12">
        <v>22136579396.921799</v>
      </c>
      <c r="AS61" s="12">
        <v>24305780628.667702</v>
      </c>
      <c r="AT61" s="12">
        <v>25601823687.5742</v>
      </c>
      <c r="AU61" s="12">
        <v>27137440786.256199</v>
      </c>
      <c r="AV61" s="12">
        <v>21403167848.144402</v>
      </c>
      <c r="AW61" s="12">
        <v>22322387382.493999</v>
      </c>
      <c r="AX61" s="12">
        <v>35777560683.9366</v>
      </c>
      <c r="AY61" s="12">
        <v>37879830084.262703</v>
      </c>
      <c r="AZ61" s="12">
        <v>43965458508.5056</v>
      </c>
      <c r="BA61" s="12">
        <v>48122601530.332397</v>
      </c>
      <c r="BB61" s="12">
        <v>48261078913.726601</v>
      </c>
      <c r="BC61" s="12">
        <v>53860187257.959297</v>
      </c>
      <c r="BD61" s="12">
        <v>58029773599.455002</v>
      </c>
      <c r="BE61" s="12">
        <v>60681535652.5373</v>
      </c>
      <c r="BF61" s="12">
        <v>62682159338.0354</v>
      </c>
      <c r="BG61" s="12">
        <v>67179955677.279099</v>
      </c>
      <c r="BH61" s="12">
        <v>71164826836.528107</v>
      </c>
      <c r="BI61" s="12">
        <v>75704647877.655899</v>
      </c>
      <c r="BJ61" s="12">
        <v>79998046305.789993</v>
      </c>
      <c r="BK61" s="12">
        <v>85555390139.117996</v>
      </c>
      <c r="BL61" s="12">
        <v>88941372558.2397</v>
      </c>
      <c r="BM61" s="12">
        <v>78844656298.177597</v>
      </c>
      <c r="BN61" s="12">
        <v>94243425938.3647</v>
      </c>
      <c r="BO61" s="12">
        <v>113537368176.13</v>
      </c>
    </row>
    <row r="62" spans="1:67" x14ac:dyDescent="0.2">
      <c r="A62" s="12" t="s">
        <v>133</v>
      </c>
      <c r="B62" s="12" t="s">
        <v>132</v>
      </c>
      <c r="C62" s="12" t="s">
        <v>978</v>
      </c>
      <c r="D62" s="12" t="s">
        <v>979</v>
      </c>
      <c r="E62" s="12">
        <v>2723615451.3009801</v>
      </c>
      <c r="F62" s="12">
        <v>2434747055.9401798</v>
      </c>
      <c r="G62" s="12">
        <v>2001444543.9188499</v>
      </c>
      <c r="H62" s="12">
        <v>2702982017.6380301</v>
      </c>
      <c r="I62" s="12">
        <v>2909316435.2873998</v>
      </c>
      <c r="J62" s="12">
        <v>3136284306.8546901</v>
      </c>
      <c r="K62" s="12">
        <v>3039859187.4516401</v>
      </c>
      <c r="L62" s="12">
        <v>3370870376.2968202</v>
      </c>
      <c r="M62" s="12">
        <v>3852147026.7730198</v>
      </c>
      <c r="N62" s="12">
        <v>4257253264.0883398</v>
      </c>
      <c r="O62" s="12">
        <v>4863526896.57407</v>
      </c>
      <c r="P62" s="12">
        <v>5077183093.8896799</v>
      </c>
      <c r="Q62" s="12">
        <v>6766743956.8888903</v>
      </c>
      <c r="R62" s="12">
        <v>8707858912.1248093</v>
      </c>
      <c r="S62" s="12">
        <v>13209871625.9044</v>
      </c>
      <c r="T62" s="12">
        <v>15557902754.033001</v>
      </c>
      <c r="U62" s="12">
        <v>17728240932.3158</v>
      </c>
      <c r="V62" s="12">
        <v>20972113684.955799</v>
      </c>
      <c r="W62" s="12">
        <v>26364491313.447102</v>
      </c>
      <c r="X62" s="12">
        <v>33243706859.659599</v>
      </c>
      <c r="Y62" s="12">
        <v>42345829079.2062</v>
      </c>
      <c r="Z62" s="12">
        <v>44348590460.928802</v>
      </c>
      <c r="AA62" s="12">
        <v>45207167470.349701</v>
      </c>
      <c r="AB62" s="12">
        <v>48801369800.3675</v>
      </c>
      <c r="AC62" s="12">
        <v>53698548293.074501</v>
      </c>
      <c r="AD62" s="12">
        <v>57937868670.193703</v>
      </c>
      <c r="AE62" s="12">
        <v>63692007897.3834</v>
      </c>
      <c r="AF62" s="12">
        <v>66745818375.492996</v>
      </c>
      <c r="AG62" s="12">
        <v>59089396860.434196</v>
      </c>
      <c r="AH62" s="12">
        <v>55634721572.734299</v>
      </c>
      <c r="AI62" s="12">
        <v>62048507531.335701</v>
      </c>
      <c r="AJ62" s="12">
        <v>45715676428.276604</v>
      </c>
      <c r="AK62" s="12">
        <v>48003133346.995697</v>
      </c>
      <c r="AL62" s="12">
        <v>49945584452.650597</v>
      </c>
      <c r="AM62" s="12">
        <v>42543176828.923698</v>
      </c>
      <c r="AN62" s="12">
        <v>41764291671.771103</v>
      </c>
      <c r="AO62" s="12">
        <v>46941554225.358101</v>
      </c>
      <c r="AP62" s="12">
        <v>48177612042.150703</v>
      </c>
      <c r="AQ62" s="12">
        <v>48187781984.488098</v>
      </c>
      <c r="AR62" s="12">
        <v>48640671734.9711</v>
      </c>
      <c r="AS62" s="12">
        <v>54790398570.328201</v>
      </c>
      <c r="AT62" s="12">
        <v>54744697926.068001</v>
      </c>
      <c r="AU62" s="12">
        <v>56760355865.008202</v>
      </c>
      <c r="AV62" s="12">
        <v>67863850333.952599</v>
      </c>
      <c r="AW62" s="12">
        <v>85332581188.610703</v>
      </c>
      <c r="AX62" s="12">
        <v>103198212442.69</v>
      </c>
      <c r="AY62" s="12">
        <v>117027280155.386</v>
      </c>
      <c r="AZ62" s="12">
        <v>134977082623.78</v>
      </c>
      <c r="BA62" s="12">
        <v>171000699876.74701</v>
      </c>
      <c r="BB62" s="12">
        <v>137211003661.69901</v>
      </c>
      <c r="BC62" s="12">
        <v>161207307027.185</v>
      </c>
      <c r="BD62" s="12">
        <v>200013098817.25</v>
      </c>
      <c r="BE62" s="12">
        <v>209059080929.49899</v>
      </c>
      <c r="BF62" s="12">
        <v>209755003250.664</v>
      </c>
      <c r="BG62" s="12">
        <v>213809979836.314</v>
      </c>
      <c r="BH62" s="12">
        <v>165979224866.13101</v>
      </c>
      <c r="BI62" s="12">
        <v>160034212126.01801</v>
      </c>
      <c r="BJ62" s="12">
        <v>170096988531.90601</v>
      </c>
      <c r="BK62" s="12">
        <v>174910684781.57101</v>
      </c>
      <c r="BL62" s="12">
        <v>171760275466.60999</v>
      </c>
      <c r="BM62" s="12">
        <v>145743542982.62799</v>
      </c>
      <c r="BN62" s="12">
        <v>163472387986.76801</v>
      </c>
      <c r="BO62" s="12">
        <v>194998449769.08499</v>
      </c>
    </row>
    <row r="63" spans="1:67" x14ac:dyDescent="0.2">
      <c r="A63" s="12" t="s">
        <v>997</v>
      </c>
      <c r="B63" s="12" t="s">
        <v>998</v>
      </c>
      <c r="C63" s="12" t="s">
        <v>978</v>
      </c>
      <c r="D63" s="12" t="s">
        <v>979</v>
      </c>
      <c r="E63" s="12">
        <v>81012790663.615906</v>
      </c>
      <c r="F63" s="12">
        <v>71458883064.702805</v>
      </c>
      <c r="G63" s="12">
        <v>65257525577.138</v>
      </c>
      <c r="H63" s="12">
        <v>70599611075.073593</v>
      </c>
      <c r="I63" s="12">
        <v>81488124865.132202</v>
      </c>
      <c r="J63" s="12">
        <v>94903578451.447998</v>
      </c>
      <c r="K63" s="12">
        <v>103790138430.23199</v>
      </c>
      <c r="L63" s="12">
        <v>100856102485.7</v>
      </c>
      <c r="M63" s="12">
        <v>102059353350.66701</v>
      </c>
      <c r="N63" s="12">
        <v>114537042435.73599</v>
      </c>
      <c r="O63" s="12">
        <v>127160158109.685</v>
      </c>
      <c r="P63" s="12">
        <v>136759553355.914</v>
      </c>
      <c r="Q63" s="12">
        <v>155097596858.82599</v>
      </c>
      <c r="R63" s="12">
        <v>195161241017.71899</v>
      </c>
      <c r="S63" s="12">
        <v>220956027398.33701</v>
      </c>
      <c r="T63" s="12">
        <v>247986366608.58801</v>
      </c>
      <c r="U63" s="12">
        <v>252125312885.177</v>
      </c>
      <c r="V63" s="12">
        <v>290805897713.51501</v>
      </c>
      <c r="W63" s="12">
        <v>353942305873.33099</v>
      </c>
      <c r="X63" s="12">
        <v>415804276283.96899</v>
      </c>
      <c r="Y63" s="12">
        <v>496964005300.724</v>
      </c>
      <c r="Z63" s="12">
        <v>500272671887.51001</v>
      </c>
      <c r="AA63" s="12">
        <v>505124567100.45697</v>
      </c>
      <c r="AB63" s="12">
        <v>520080383599.95502</v>
      </c>
      <c r="AC63" s="12">
        <v>536107419362.828</v>
      </c>
      <c r="AD63" s="12">
        <v>526595680660.17499</v>
      </c>
      <c r="AE63" s="12">
        <v>524527484216.86499</v>
      </c>
      <c r="AF63" s="12">
        <v>573139844210.078</v>
      </c>
      <c r="AG63" s="12">
        <v>671230992472.80701</v>
      </c>
      <c r="AH63" s="12">
        <v>731371096234.13098</v>
      </c>
      <c r="AI63" s="12">
        <v>700806537275.49097</v>
      </c>
      <c r="AJ63" s="12">
        <v>753373284604.07104</v>
      </c>
      <c r="AK63" s="12">
        <v>877362176380.16101</v>
      </c>
      <c r="AL63" s="12">
        <v>1065302995858.91</v>
      </c>
      <c r="AM63" s="12">
        <v>1071935566240.48</v>
      </c>
      <c r="AN63" s="12">
        <v>1322145813137.5</v>
      </c>
      <c r="AO63" s="12">
        <v>1518455507723.8</v>
      </c>
      <c r="AP63" s="12">
        <v>1570740162412.8701</v>
      </c>
      <c r="AQ63" s="12">
        <v>1433291024362.1799</v>
      </c>
      <c r="AR63" s="12">
        <v>1578157584193.1799</v>
      </c>
      <c r="AS63" s="12">
        <v>1736282412283.77</v>
      </c>
      <c r="AT63" s="12">
        <v>1847274952029.4099</v>
      </c>
      <c r="AU63" s="12">
        <v>2044520658576.3899</v>
      </c>
      <c r="AV63" s="12">
        <v>2314011252023.5098</v>
      </c>
      <c r="AW63" s="12">
        <v>2683100487725.3799</v>
      </c>
      <c r="AX63" s="12">
        <v>3107883641018.9102</v>
      </c>
      <c r="AY63" s="12">
        <v>3742964683361.4102</v>
      </c>
      <c r="AZ63" s="12">
        <v>4731966528028.2002</v>
      </c>
      <c r="BA63" s="12">
        <v>5987288782012.7998</v>
      </c>
      <c r="BB63" s="12">
        <v>6491437866223.5195</v>
      </c>
      <c r="BC63" s="12">
        <v>7900717379136.9902</v>
      </c>
      <c r="BD63" s="12">
        <v>9650874833463.7207</v>
      </c>
      <c r="BE63" s="12">
        <v>10760102571844.5</v>
      </c>
      <c r="BF63" s="12">
        <v>11870263413707.699</v>
      </c>
      <c r="BG63" s="12">
        <v>12800321230512.301</v>
      </c>
      <c r="BH63" s="12">
        <v>13323575118311</v>
      </c>
      <c r="BI63" s="12">
        <v>13614767442825.301</v>
      </c>
      <c r="BJ63" s="12">
        <v>14881358665109.301</v>
      </c>
      <c r="BK63" s="12">
        <v>16640611153965.4</v>
      </c>
      <c r="BL63" s="12">
        <v>17213484850175.699</v>
      </c>
      <c r="BM63" s="12">
        <v>17487617929386.199</v>
      </c>
      <c r="BN63" s="12">
        <v>20839170495754.398</v>
      </c>
      <c r="BO63" s="12">
        <v>21193771562304.199</v>
      </c>
    </row>
    <row r="64" spans="1:67" x14ac:dyDescent="0.2">
      <c r="A64" s="12" t="s">
        <v>999</v>
      </c>
      <c r="B64" s="12" t="s">
        <v>1000</v>
      </c>
      <c r="C64" s="12" t="s">
        <v>978</v>
      </c>
      <c r="D64" s="12" t="s">
        <v>979</v>
      </c>
      <c r="E64" s="12">
        <v>136037236022.39</v>
      </c>
      <c r="F64" s="12">
        <v>144519229589.20999</v>
      </c>
      <c r="G64" s="12">
        <v>148511640353.48401</v>
      </c>
      <c r="H64" s="12">
        <v>166775260631.98999</v>
      </c>
      <c r="I64" s="12">
        <v>185276934941.44199</v>
      </c>
      <c r="J64" s="12">
        <v>199046271838.63199</v>
      </c>
      <c r="K64" s="12">
        <v>194538356325.16101</v>
      </c>
      <c r="L64" s="12">
        <v>211738371298.04901</v>
      </c>
      <c r="M64" s="12">
        <v>230290144067.62201</v>
      </c>
      <c r="N64" s="12">
        <v>254979072046.62201</v>
      </c>
      <c r="O64" s="12">
        <v>271582625956.43399</v>
      </c>
      <c r="P64" s="12">
        <v>293755085805.487</v>
      </c>
      <c r="Q64" s="12">
        <v>323444302441.409</v>
      </c>
      <c r="R64" s="12">
        <v>405416698140.742</v>
      </c>
      <c r="S64" s="12">
        <v>568522750972.38403</v>
      </c>
      <c r="T64" s="12">
        <v>639682910662.15295</v>
      </c>
      <c r="U64" s="12">
        <v>706852842249.96399</v>
      </c>
      <c r="V64" s="12">
        <v>793458796947.93701</v>
      </c>
      <c r="W64" s="12">
        <v>892438011210.25903</v>
      </c>
      <c r="X64" s="12">
        <v>1085897257201.83</v>
      </c>
      <c r="Y64" s="12">
        <v>1363197371643.1201</v>
      </c>
      <c r="Z64" s="12">
        <v>1529352460730.9099</v>
      </c>
      <c r="AA64" s="12">
        <v>1443093208304.8999</v>
      </c>
      <c r="AB64" s="12">
        <v>1435738141021.54</v>
      </c>
      <c r="AC64" s="12">
        <v>1459662641982.74</v>
      </c>
      <c r="AD64" s="12">
        <v>1460132634641.71</v>
      </c>
      <c r="AE64" s="12">
        <v>1475759117115.51</v>
      </c>
      <c r="AF64" s="12">
        <v>1498232946401.1899</v>
      </c>
      <c r="AG64" s="12">
        <v>1559723568017.21</v>
      </c>
      <c r="AH64" s="12">
        <v>1589428971661.2</v>
      </c>
      <c r="AI64" s="12">
        <v>1865383681841.5601</v>
      </c>
      <c r="AJ64" s="12">
        <v>1975737934666.1001</v>
      </c>
      <c r="AK64" s="12">
        <v>2173358590938.4199</v>
      </c>
      <c r="AL64" s="12">
        <v>2423181289063.27</v>
      </c>
      <c r="AM64" s="12">
        <v>2549155455096.3799</v>
      </c>
      <c r="AN64" s="12">
        <v>2589976163835.7402</v>
      </c>
      <c r="AO64" s="12">
        <v>2814604962976.3701</v>
      </c>
      <c r="AP64" s="12">
        <v>3007027240585.3198</v>
      </c>
      <c r="AQ64" s="12">
        <v>2975617396106</v>
      </c>
      <c r="AR64" s="12">
        <v>3146557650838.1499</v>
      </c>
      <c r="AS64" s="12">
        <v>3440095511579.21</v>
      </c>
      <c r="AT64" s="12">
        <v>3414281661317.5698</v>
      </c>
      <c r="AU64" s="12">
        <v>3321585463361.8501</v>
      </c>
      <c r="AV64" s="12">
        <v>3692647658874.7402</v>
      </c>
      <c r="AW64" s="12">
        <v>4292615595190.27</v>
      </c>
      <c r="AX64" s="12">
        <v>4998498520570.0303</v>
      </c>
      <c r="AY64" s="12">
        <v>5711797202730.3896</v>
      </c>
      <c r="AZ64" s="12">
        <v>6757951141703.7402</v>
      </c>
      <c r="BA64" s="12">
        <v>7616765103084</v>
      </c>
      <c r="BB64" s="12">
        <v>7332396156491.9297</v>
      </c>
      <c r="BC64" s="12">
        <v>8884031209798.0293</v>
      </c>
      <c r="BD64" s="12">
        <v>9795626070584.9395</v>
      </c>
      <c r="BE64" s="12">
        <v>10243728784860.4</v>
      </c>
      <c r="BF64" s="12">
        <v>10385185617015.9</v>
      </c>
      <c r="BG64" s="12">
        <v>10740227594970.801</v>
      </c>
      <c r="BH64" s="12">
        <v>10216824786880.199</v>
      </c>
      <c r="BI64" s="12">
        <v>10517811163281.699</v>
      </c>
      <c r="BJ64" s="12">
        <v>11373004521350.199</v>
      </c>
      <c r="BK64" s="12">
        <v>11504322295801.5</v>
      </c>
      <c r="BL64" s="12">
        <v>11743140069350.9</v>
      </c>
      <c r="BM64" s="12">
        <v>10941489484842.699</v>
      </c>
      <c r="BN64" s="12">
        <v>12716982787439</v>
      </c>
      <c r="BO64" s="12">
        <v>14148420366435.9</v>
      </c>
    </row>
    <row r="65" spans="1:67" x14ac:dyDescent="0.2">
      <c r="A65" s="12" t="s">
        <v>1001</v>
      </c>
      <c r="B65" s="12" t="s">
        <v>1002</v>
      </c>
      <c r="C65" s="12" t="s">
        <v>978</v>
      </c>
      <c r="D65" s="12" t="s">
        <v>979</v>
      </c>
      <c r="E65" s="12">
        <v>154531117498.84698</v>
      </c>
      <c r="F65" s="12">
        <v>155127329777.047</v>
      </c>
      <c r="G65" s="12">
        <v>158343678297.94501</v>
      </c>
      <c r="H65" s="12">
        <v>176591740764.43301</v>
      </c>
      <c r="I65" s="12">
        <v>202562423066.15701</v>
      </c>
      <c r="J65" s="12">
        <v>225488669971.22699</v>
      </c>
      <c r="K65" s="12">
        <v>251973597080.543</v>
      </c>
      <c r="L65" s="12">
        <v>273161617537.021</v>
      </c>
      <c r="M65" s="12">
        <v>301107124936.32898</v>
      </c>
      <c r="N65" s="12">
        <v>346736994547.53003</v>
      </c>
      <c r="O65" s="12">
        <v>413453241726.742</v>
      </c>
      <c r="P65" s="12">
        <v>458922270374.22998</v>
      </c>
      <c r="Q65" s="12">
        <v>569888244632.69202</v>
      </c>
      <c r="R65" s="12">
        <v>751253809753.23804</v>
      </c>
      <c r="S65" s="12">
        <v>865270508011.09705</v>
      </c>
      <c r="T65" s="12">
        <v>946981108642.51001</v>
      </c>
      <c r="U65" s="12">
        <v>1041522827811.58</v>
      </c>
      <c r="V65" s="12">
        <v>1241411064805.24</v>
      </c>
      <c r="W65" s="12">
        <v>1638378937430.28</v>
      </c>
      <c r="X65" s="12">
        <v>1789114467940.6599</v>
      </c>
      <c r="Y65" s="12">
        <v>1956050522366.8501</v>
      </c>
      <c r="Z65" s="12">
        <v>2122690614910.8999</v>
      </c>
      <c r="AA65" s="12">
        <v>2066221743484.45</v>
      </c>
      <c r="AB65" s="12">
        <v>2190091680061.6399</v>
      </c>
      <c r="AC65" s="12">
        <v>2317598624736</v>
      </c>
      <c r="AD65" s="12">
        <v>2388199816977.6499</v>
      </c>
      <c r="AE65" s="12">
        <v>3123521291594.5</v>
      </c>
      <c r="AF65" s="12">
        <v>3722067437665.0601</v>
      </c>
      <c r="AG65" s="12">
        <v>4504813026702.21</v>
      </c>
      <c r="AH65" s="12">
        <v>4699843182591</v>
      </c>
      <c r="AI65" s="12">
        <v>4825135527454.8896</v>
      </c>
      <c r="AJ65" s="12">
        <v>5442893719943.3604</v>
      </c>
      <c r="AK65" s="12">
        <v>5983315055353.0898</v>
      </c>
      <c r="AL65" s="12">
        <v>6794132980257.29</v>
      </c>
      <c r="AM65" s="12">
        <v>7404462060278.9805</v>
      </c>
      <c r="AN65" s="12">
        <v>8407703049147.3398</v>
      </c>
      <c r="AO65" s="12">
        <v>8101522614539.1104</v>
      </c>
      <c r="AP65" s="12">
        <v>7743791381646.7305</v>
      </c>
      <c r="AQ65" s="12">
        <v>6931652345852.6504</v>
      </c>
      <c r="AR65" s="12">
        <v>7743499881489.5303</v>
      </c>
      <c r="AS65" s="12">
        <v>8377349540465.25</v>
      </c>
      <c r="AT65" s="12">
        <v>7789508076035.0703</v>
      </c>
      <c r="AU65" s="12">
        <v>7912757790984.2598</v>
      </c>
      <c r="AV65" s="12">
        <v>8702207399274.6299</v>
      </c>
      <c r="AW65" s="12">
        <v>9758433473126.7793</v>
      </c>
      <c r="AX65" s="12">
        <v>10411317309554.801</v>
      </c>
      <c r="AY65" s="12">
        <v>11034808224299.4</v>
      </c>
      <c r="AZ65" s="12">
        <v>12331154735962.699</v>
      </c>
      <c r="BA65" s="12">
        <v>14220141864723.5</v>
      </c>
      <c r="BB65" s="12">
        <v>14630626964216.5</v>
      </c>
      <c r="BC65" s="12">
        <v>17078044883355.301</v>
      </c>
      <c r="BD65" s="12">
        <v>19796911407672.398</v>
      </c>
      <c r="BE65" s="12">
        <v>21174153362040.602</v>
      </c>
      <c r="BF65" s="12">
        <v>21411260037373</v>
      </c>
      <c r="BG65" s="12">
        <v>22089565874969.301</v>
      </c>
      <c r="BH65" s="12">
        <v>21995286337605.602</v>
      </c>
      <c r="BI65" s="12">
        <v>22775818467016.898</v>
      </c>
      <c r="BJ65" s="12">
        <v>24329068203247.398</v>
      </c>
      <c r="BK65" s="12">
        <v>26487849774769.5</v>
      </c>
      <c r="BL65" s="12">
        <v>27032674446875.699</v>
      </c>
      <c r="BM65" s="12">
        <v>27155249687649.398</v>
      </c>
      <c r="BN65" s="12">
        <v>31141271720840.699</v>
      </c>
      <c r="BO65" s="12">
        <v>30712490177155.801</v>
      </c>
    </row>
    <row r="66" spans="1:67" x14ac:dyDescent="0.2">
      <c r="A66" s="12" t="s">
        <v>1003</v>
      </c>
      <c r="B66" s="12" t="s">
        <v>1004</v>
      </c>
      <c r="C66" s="12" t="s">
        <v>978</v>
      </c>
      <c r="D66" s="12" t="s">
        <v>979</v>
      </c>
      <c r="AG66" s="12">
        <v>850630595097.82202</v>
      </c>
      <c r="AH66" s="12">
        <v>820691714108.67896</v>
      </c>
      <c r="AI66" s="12">
        <v>879067803641.85999</v>
      </c>
      <c r="AJ66" s="12">
        <v>859564888121.99304</v>
      </c>
      <c r="AK66" s="12">
        <v>791014140633.34998</v>
      </c>
      <c r="AL66" s="12">
        <v>785265792624.01099</v>
      </c>
      <c r="AM66" s="12">
        <v>674045599737.302</v>
      </c>
      <c r="AN66" s="12">
        <v>721536976115.354</v>
      </c>
      <c r="AO66" s="12">
        <v>729341592559.41797</v>
      </c>
      <c r="AP66" s="12">
        <v>761417341296.37598</v>
      </c>
      <c r="AQ66" s="12">
        <v>705490152949.69495</v>
      </c>
      <c r="AR66" s="12">
        <v>591797663564.30603</v>
      </c>
      <c r="AS66" s="12">
        <v>662865533121.62402</v>
      </c>
      <c r="AT66" s="12">
        <v>655068116328.39294</v>
      </c>
      <c r="AU66" s="12">
        <v>750707740327.68005</v>
      </c>
      <c r="AV66" s="12">
        <v>947224219829.56494</v>
      </c>
      <c r="AW66" s="12">
        <v>1256021644137.52</v>
      </c>
      <c r="AX66" s="12">
        <v>1589623253702.4399</v>
      </c>
      <c r="AY66" s="12">
        <v>1950105962933.6299</v>
      </c>
      <c r="AZ66" s="12">
        <v>2509469282749.6099</v>
      </c>
      <c r="BA66" s="12">
        <v>3110392920503.27</v>
      </c>
      <c r="BB66" s="12">
        <v>2437810906121.2798</v>
      </c>
      <c r="BC66" s="12">
        <v>2953123347551.5898</v>
      </c>
      <c r="BD66" s="12">
        <v>3670091075706.8398</v>
      </c>
      <c r="BE66" s="12">
        <v>3914682847733.4399</v>
      </c>
      <c r="BF66" s="12">
        <v>4150280509009.2402</v>
      </c>
      <c r="BG66" s="12">
        <v>3845772639012.8301</v>
      </c>
      <c r="BH66" s="12">
        <v>2921672028195.23</v>
      </c>
      <c r="BI66" s="12">
        <v>2777844494431.75</v>
      </c>
      <c r="BJ66" s="12">
        <v>3118391538150.3599</v>
      </c>
      <c r="BK66" s="12">
        <v>3183375960368.6602</v>
      </c>
      <c r="BL66" s="12">
        <v>3250597309710.46</v>
      </c>
      <c r="BM66" s="12">
        <v>2991607694833.7202</v>
      </c>
      <c r="BN66" s="12">
        <v>3580124604033.79</v>
      </c>
      <c r="BO66" s="12">
        <v>4129330109662.6602</v>
      </c>
    </row>
    <row r="67" spans="1:67" x14ac:dyDescent="0.2">
      <c r="A67" s="12" t="s">
        <v>1005</v>
      </c>
      <c r="B67" s="12" t="s">
        <v>1006</v>
      </c>
      <c r="C67" s="12" t="s">
        <v>978</v>
      </c>
      <c r="D67" s="12" t="s">
        <v>979</v>
      </c>
      <c r="K67" s="12">
        <v>738130953212.58899</v>
      </c>
      <c r="L67" s="12">
        <v>794915876429.05298</v>
      </c>
      <c r="M67" s="12">
        <v>831525946548.11401</v>
      </c>
      <c r="N67" s="12">
        <v>919719196406.61597</v>
      </c>
      <c r="O67" s="12">
        <v>1018620304076.3101</v>
      </c>
      <c r="P67" s="12">
        <v>1147625624147.8501</v>
      </c>
      <c r="Q67" s="12">
        <v>1375499419930.6699</v>
      </c>
      <c r="R67" s="12">
        <v>1747095591250.98</v>
      </c>
      <c r="S67" s="12">
        <v>1973567780630.55</v>
      </c>
      <c r="T67" s="12">
        <v>2307486263779.98</v>
      </c>
      <c r="U67" s="12">
        <v>2397117543413.6499</v>
      </c>
      <c r="V67" s="12">
        <v>2716475752925.29</v>
      </c>
      <c r="W67" s="12">
        <v>3316315487062.1802</v>
      </c>
      <c r="X67" s="12">
        <v>4056001260580.2998</v>
      </c>
      <c r="Y67" s="12">
        <v>4593786019657.1504</v>
      </c>
      <c r="Z67" s="12">
        <v>4088697189096.71</v>
      </c>
      <c r="AA67" s="12">
        <v>3939796038276.29</v>
      </c>
      <c r="AB67" s="12">
        <v>3822429053450.7402</v>
      </c>
      <c r="AC67" s="12">
        <v>3673631584182.02</v>
      </c>
      <c r="AD67" s="12">
        <v>3801763674325.1899</v>
      </c>
      <c r="AE67" s="12">
        <v>5189099124582.1396</v>
      </c>
      <c r="AF67" s="12">
        <v>6412249080794.9404</v>
      </c>
      <c r="AG67" s="12">
        <v>7136188537844.6396</v>
      </c>
      <c r="AH67" s="12">
        <v>7228867549798.3096</v>
      </c>
      <c r="AI67" s="12">
        <v>8844416306688.1699</v>
      </c>
      <c r="AJ67" s="12">
        <v>9129547622124.3691</v>
      </c>
      <c r="AK67" s="12">
        <v>9793519248255.8008</v>
      </c>
      <c r="AL67" s="12">
        <v>9002961946838.4395</v>
      </c>
      <c r="AM67" s="12">
        <v>9412764456412.25</v>
      </c>
      <c r="AN67" s="12">
        <v>10869124487155.199</v>
      </c>
      <c r="AO67" s="12">
        <v>11093995531284.801</v>
      </c>
      <c r="AP67" s="12">
        <v>10522039639341.4</v>
      </c>
      <c r="AQ67" s="12">
        <v>10794675569889.6</v>
      </c>
      <c r="AR67" s="12">
        <v>10676421794307.5</v>
      </c>
      <c r="AS67" s="12">
        <v>10065921815731.6</v>
      </c>
      <c r="AT67" s="12">
        <v>10168292218080.4</v>
      </c>
      <c r="AU67" s="12">
        <v>11134322383715.6</v>
      </c>
      <c r="AV67" s="12">
        <v>13534592292253</v>
      </c>
      <c r="AW67" s="12">
        <v>15775499878104.699</v>
      </c>
      <c r="AX67" s="12">
        <v>16780902188907</v>
      </c>
      <c r="AY67" s="12">
        <v>18167734620079.102</v>
      </c>
      <c r="AZ67" s="12">
        <v>21227695909963.301</v>
      </c>
      <c r="BA67" s="12">
        <v>23363317725408.301</v>
      </c>
      <c r="BB67" s="12">
        <v>20544984633327.102</v>
      </c>
      <c r="BC67" s="12">
        <v>21016244485056.301</v>
      </c>
      <c r="BD67" s="12">
        <v>23305492283126.398</v>
      </c>
      <c r="BE67" s="12">
        <v>22453172441445.398</v>
      </c>
      <c r="BF67" s="12">
        <v>23454504187753</v>
      </c>
      <c r="BG67" s="12">
        <v>23783815080046.5</v>
      </c>
      <c r="BH67" s="12">
        <v>20480970346558.5</v>
      </c>
      <c r="BI67" s="12">
        <v>20408422727022.5</v>
      </c>
      <c r="BJ67" s="12">
        <v>21652739213015.301</v>
      </c>
      <c r="BK67" s="12">
        <v>23188460071899.602</v>
      </c>
      <c r="BL67" s="12">
        <v>22907909231787.301</v>
      </c>
      <c r="BM67" s="12">
        <v>22156584402676.898</v>
      </c>
      <c r="BN67" s="12">
        <v>25324876871395.699</v>
      </c>
      <c r="BO67" s="12">
        <v>25344209837077.102</v>
      </c>
    </row>
    <row r="68" spans="1:67" x14ac:dyDescent="0.2">
      <c r="A68" s="12" t="s">
        <v>71</v>
      </c>
      <c r="B68" s="12" t="s">
        <v>70</v>
      </c>
      <c r="C68" s="12" t="s">
        <v>978</v>
      </c>
      <c r="D68" s="12" t="s">
        <v>979</v>
      </c>
      <c r="E68" s="12">
        <v>2069464936.59762</v>
      </c>
      <c r="F68" s="12">
        <v>1753850954.8397901</v>
      </c>
      <c r="G68" s="12">
        <v>1518207703.8901601</v>
      </c>
      <c r="H68" s="12">
        <v>1824343870.4139299</v>
      </c>
      <c r="I68" s="12">
        <v>2244146103.1834202</v>
      </c>
      <c r="J68" s="12">
        <v>2387047395.7025399</v>
      </c>
      <c r="K68" s="12">
        <v>2429308638.8379998</v>
      </c>
      <c r="L68" s="12">
        <v>2553595172.08743</v>
      </c>
      <c r="M68" s="12">
        <v>2582179864.1549301</v>
      </c>
      <c r="N68" s="12">
        <v>3112165727.38342</v>
      </c>
      <c r="O68" s="12">
        <v>2862503139.0035801</v>
      </c>
      <c r="P68" s="12">
        <v>2754219271.0308199</v>
      </c>
      <c r="Q68" s="12">
        <v>3185986087.3358302</v>
      </c>
      <c r="R68" s="12">
        <v>3891754150.2379599</v>
      </c>
      <c r="S68" s="12">
        <v>6599257044.1241398</v>
      </c>
      <c r="T68" s="12">
        <v>7731674472.0721197</v>
      </c>
      <c r="U68" s="12">
        <v>9091921030.1734505</v>
      </c>
      <c r="V68" s="12">
        <v>11026342618.1141</v>
      </c>
      <c r="W68" s="12">
        <v>11922497876.4828</v>
      </c>
      <c r="X68" s="12">
        <v>14175160902.0721</v>
      </c>
      <c r="Y68" s="12">
        <v>17881508242.448101</v>
      </c>
      <c r="Z68" s="12">
        <v>21810759353.7304</v>
      </c>
      <c r="AA68" s="12">
        <v>19929846396.423901</v>
      </c>
      <c r="AB68" s="12">
        <v>17152477036.5005</v>
      </c>
      <c r="AC68" s="12">
        <v>16912509091.855</v>
      </c>
      <c r="AD68" s="12">
        <v>17149088413.35</v>
      </c>
      <c r="AE68" s="12">
        <v>15314138472.328199</v>
      </c>
      <c r="AF68" s="12">
        <v>13945426859.4657</v>
      </c>
      <c r="AG68" s="12">
        <v>13051881851.406799</v>
      </c>
      <c r="AH68" s="12">
        <v>13890823704.554501</v>
      </c>
      <c r="AI68" s="12">
        <v>15239272611.5809</v>
      </c>
      <c r="AJ68" s="12">
        <v>16988535267.633801</v>
      </c>
      <c r="AK68" s="12">
        <v>18094238119.059502</v>
      </c>
      <c r="AL68" s="12">
        <v>18938717358.679298</v>
      </c>
      <c r="AM68" s="12">
        <v>22708673336.668301</v>
      </c>
      <c r="AN68" s="12">
        <v>24432884442.2211</v>
      </c>
      <c r="AO68" s="12">
        <v>25226393196.598301</v>
      </c>
      <c r="AP68" s="12">
        <v>28162053026.513302</v>
      </c>
      <c r="AQ68" s="12">
        <v>27981896948.474201</v>
      </c>
      <c r="AR68" s="12">
        <v>19645272636.318199</v>
      </c>
      <c r="AS68" s="12">
        <v>18327764882.4412</v>
      </c>
      <c r="AT68" s="12">
        <v>24468324000</v>
      </c>
      <c r="AU68" s="12">
        <v>28548945000</v>
      </c>
      <c r="AV68" s="12">
        <v>32432858000</v>
      </c>
      <c r="AW68" s="12">
        <v>36591661000</v>
      </c>
      <c r="AX68" s="12">
        <v>41507085000</v>
      </c>
      <c r="AY68" s="12">
        <v>46802044000</v>
      </c>
      <c r="AZ68" s="12">
        <v>51007777000</v>
      </c>
      <c r="BA68" s="12">
        <v>61762635000</v>
      </c>
      <c r="BB68" s="12">
        <v>62519686000</v>
      </c>
      <c r="BC68" s="12">
        <v>69555367000</v>
      </c>
      <c r="BD68" s="12">
        <v>79276664000</v>
      </c>
      <c r="BE68" s="12">
        <v>87924544000</v>
      </c>
      <c r="BF68" s="12">
        <v>95129659000</v>
      </c>
      <c r="BG68" s="12">
        <v>101726331000</v>
      </c>
      <c r="BH68" s="12">
        <v>99290381000</v>
      </c>
      <c r="BI68" s="12">
        <v>99937696000</v>
      </c>
      <c r="BJ68" s="12">
        <v>104295862000</v>
      </c>
      <c r="BK68" s="12">
        <v>107562008000</v>
      </c>
      <c r="BL68" s="12">
        <v>108108009000</v>
      </c>
      <c r="BM68" s="12">
        <v>99291124000</v>
      </c>
      <c r="BN68" s="12">
        <v>106165866000</v>
      </c>
      <c r="BO68" s="12">
        <v>115049476000</v>
      </c>
    </row>
    <row r="69" spans="1:67" x14ac:dyDescent="0.2">
      <c r="A69" s="12" t="s">
        <v>55</v>
      </c>
      <c r="B69" s="12" t="s">
        <v>54</v>
      </c>
      <c r="C69" s="12" t="s">
        <v>978</v>
      </c>
      <c r="D69" s="12" t="s">
        <v>979</v>
      </c>
      <c r="J69" s="12">
        <v>4948667540.4106598</v>
      </c>
      <c r="K69" s="12">
        <v>5278005611.9145298</v>
      </c>
      <c r="L69" s="12">
        <v>5605484298.9827499</v>
      </c>
      <c r="M69" s="12">
        <v>5932242990.6542101</v>
      </c>
      <c r="N69" s="12">
        <v>6524455205.8111401</v>
      </c>
      <c r="O69" s="12">
        <v>8042200452.1477003</v>
      </c>
      <c r="P69" s="12">
        <v>8609283346.0851803</v>
      </c>
      <c r="Q69" s="12">
        <v>9299638055.8428097</v>
      </c>
      <c r="R69" s="12">
        <v>10098534613.441099</v>
      </c>
      <c r="S69" s="12">
        <v>9228963224.6000404</v>
      </c>
      <c r="T69" s="12">
        <v>11632178868.917101</v>
      </c>
      <c r="U69" s="12">
        <v>13315988083.4161</v>
      </c>
      <c r="V69" s="12">
        <v>14400806875.9867</v>
      </c>
      <c r="W69" s="12">
        <v>14811704063.068501</v>
      </c>
      <c r="X69" s="12">
        <v>18020571428.5714</v>
      </c>
      <c r="Y69" s="12">
        <v>21669908176.388901</v>
      </c>
      <c r="Z69" s="12">
        <v>22136081081.0811</v>
      </c>
      <c r="AA69" s="12">
        <v>27655172413.793098</v>
      </c>
      <c r="AB69" s="12">
        <v>30966239813.7369</v>
      </c>
      <c r="AC69" s="12">
        <v>33971188991.6147</v>
      </c>
      <c r="AD69" s="12">
        <v>39053502251.073196</v>
      </c>
      <c r="AE69" s="12">
        <v>41253507951.3564</v>
      </c>
      <c r="AF69" s="12">
        <v>40455616653.574203</v>
      </c>
      <c r="AG69" s="12">
        <v>34980124929.017601</v>
      </c>
      <c r="AH69" s="12">
        <v>39756299049.979301</v>
      </c>
      <c r="AI69" s="12">
        <v>42978914311.350403</v>
      </c>
      <c r="AJ69" s="12">
        <v>37387836490.528397</v>
      </c>
      <c r="AK69" s="12">
        <v>41855986519.4235</v>
      </c>
      <c r="AL69" s="12">
        <v>46578631452.581001</v>
      </c>
      <c r="AM69" s="12">
        <v>51897983392.645302</v>
      </c>
      <c r="AN69" s="12">
        <v>60159245060.454102</v>
      </c>
      <c r="AO69" s="12">
        <v>67629716981.132103</v>
      </c>
      <c r="AP69" s="12">
        <v>78436578171.0914</v>
      </c>
      <c r="AQ69" s="12">
        <v>84828807556.080307</v>
      </c>
      <c r="AR69" s="12">
        <v>90710704806.841599</v>
      </c>
      <c r="AS69" s="12">
        <v>99838543960.076294</v>
      </c>
      <c r="AT69" s="12">
        <v>96684636118.598404</v>
      </c>
      <c r="AU69" s="12">
        <v>85146067415.730301</v>
      </c>
      <c r="AV69" s="12">
        <v>80288461538.461502</v>
      </c>
      <c r="AW69" s="12">
        <v>78782467532.467499</v>
      </c>
      <c r="AX69" s="12">
        <v>89600665557.404297</v>
      </c>
      <c r="AY69" s="12">
        <v>107426086956.522</v>
      </c>
      <c r="AZ69" s="12">
        <v>130437828371.278</v>
      </c>
      <c r="BA69" s="12">
        <v>162818181818.18201</v>
      </c>
      <c r="BB69" s="12">
        <v>189147005444.646</v>
      </c>
      <c r="BC69" s="12">
        <v>218983666061.70599</v>
      </c>
      <c r="BD69" s="12">
        <v>235989672977.625</v>
      </c>
      <c r="BE69" s="12">
        <v>279116666666.66699</v>
      </c>
      <c r="BF69" s="12">
        <v>288434108527.13202</v>
      </c>
      <c r="BG69" s="12">
        <v>305595408895.26501</v>
      </c>
      <c r="BH69" s="12">
        <v>329366576819.40698</v>
      </c>
      <c r="BI69" s="12">
        <v>332441717791.41101</v>
      </c>
      <c r="BJ69" s="12">
        <v>248362771739.13</v>
      </c>
      <c r="BK69" s="12">
        <v>262588632526.73001</v>
      </c>
      <c r="BL69" s="12">
        <v>318678815489.74902</v>
      </c>
      <c r="BM69" s="12">
        <v>383817841547.099</v>
      </c>
      <c r="BN69" s="12">
        <v>424671765455.70398</v>
      </c>
      <c r="BO69" s="12">
        <v>476747720364.742</v>
      </c>
    </row>
    <row r="70" spans="1:67" x14ac:dyDescent="0.2">
      <c r="A70" s="12" t="s">
        <v>1007</v>
      </c>
      <c r="B70" s="12" t="s">
        <v>1008</v>
      </c>
      <c r="C70" s="12" t="s">
        <v>978</v>
      </c>
      <c r="D70" s="12" t="s">
        <v>979</v>
      </c>
      <c r="E70" s="12">
        <v>245575034484.15399</v>
      </c>
      <c r="F70" s="12">
        <v>269780402441.13599</v>
      </c>
      <c r="G70" s="12">
        <v>299724752489.19</v>
      </c>
      <c r="H70" s="12">
        <v>336358141577.651</v>
      </c>
      <c r="I70" s="12">
        <v>374154739325.54401</v>
      </c>
      <c r="J70" s="12">
        <v>408976374349.60699</v>
      </c>
      <c r="K70" s="12">
        <v>446231131338.63702</v>
      </c>
      <c r="L70" s="12">
        <v>484883784440.11902</v>
      </c>
      <c r="M70" s="12">
        <v>520564671447.41602</v>
      </c>
      <c r="N70" s="12">
        <v>581088775537.23206</v>
      </c>
      <c r="O70" s="12">
        <v>644565892247.91895</v>
      </c>
      <c r="P70" s="12">
        <v>730558217755.672</v>
      </c>
      <c r="Q70" s="12">
        <v>882533204601.87097</v>
      </c>
      <c r="R70" s="12">
        <v>1145698760371.6699</v>
      </c>
      <c r="S70" s="12">
        <v>1299297401470.1699</v>
      </c>
      <c r="T70" s="12">
        <v>1506551041977.9099</v>
      </c>
      <c r="U70" s="12">
        <v>1572246653107.2</v>
      </c>
      <c r="V70" s="12">
        <v>1788382280419.1101</v>
      </c>
      <c r="W70" s="12">
        <v>2189962818491.8601</v>
      </c>
      <c r="X70" s="12">
        <v>2652849967504.1201</v>
      </c>
      <c r="Y70" s="12">
        <v>2971159044053.6299</v>
      </c>
      <c r="Z70" s="12">
        <v>2582177794503.23</v>
      </c>
      <c r="AA70" s="12">
        <v>2500049734466.2998</v>
      </c>
      <c r="AB70" s="12">
        <v>2438980900692.6099</v>
      </c>
      <c r="AC70" s="12">
        <v>2339472355257.1899</v>
      </c>
      <c r="AD70" s="12">
        <v>2403447365327.6099</v>
      </c>
      <c r="AE70" s="12">
        <v>3373099858818.71</v>
      </c>
      <c r="AF70" s="12">
        <v>4172038112351.1401</v>
      </c>
      <c r="AG70" s="12">
        <v>4588386201192.4199</v>
      </c>
      <c r="AH70" s="12">
        <v>4686851650795.3896</v>
      </c>
      <c r="AI70" s="12">
        <v>5898511575032.5498</v>
      </c>
      <c r="AJ70" s="12">
        <v>6132653935089.6904</v>
      </c>
      <c r="AK70" s="12">
        <v>6766063239283.2002</v>
      </c>
      <c r="AL70" s="12">
        <v>6191179704198.1504</v>
      </c>
      <c r="AM70" s="12">
        <v>6535365784573.0596</v>
      </c>
      <c r="AN70" s="12">
        <v>7538231147010.79</v>
      </c>
      <c r="AO70" s="12">
        <v>7628506032133.8301</v>
      </c>
      <c r="AP70" s="12">
        <v>6976362262242.3496</v>
      </c>
      <c r="AQ70" s="12">
        <v>7175100226665.5703</v>
      </c>
      <c r="AR70" s="12">
        <v>7139982837082.75</v>
      </c>
      <c r="AS70" s="12">
        <v>6517630044431.9102</v>
      </c>
      <c r="AT70" s="12">
        <v>6619383365977.04</v>
      </c>
      <c r="AU70" s="12">
        <v>7226690863566.0195</v>
      </c>
      <c r="AV70" s="12">
        <v>8897544706855.8809</v>
      </c>
      <c r="AW70" s="12">
        <v>10202235398147.699</v>
      </c>
      <c r="AX70" s="12">
        <v>10568559669251.5</v>
      </c>
      <c r="AY70" s="12">
        <v>11233646571123</v>
      </c>
      <c r="AZ70" s="12">
        <v>12938431100771.301</v>
      </c>
      <c r="BA70" s="12">
        <v>14226776960849.6</v>
      </c>
      <c r="BB70" s="12">
        <v>13000592654770.301</v>
      </c>
      <c r="BC70" s="12">
        <v>12700497319995.6</v>
      </c>
      <c r="BD70" s="12">
        <v>13700718631878.4</v>
      </c>
      <c r="BE70" s="12">
        <v>12695551676378.301</v>
      </c>
      <c r="BF70" s="12">
        <v>13255496085721.199</v>
      </c>
      <c r="BG70" s="12">
        <v>13569853388306</v>
      </c>
      <c r="BH70" s="12">
        <v>11726885430565.4</v>
      </c>
      <c r="BI70" s="12">
        <v>12025583921664</v>
      </c>
      <c r="BJ70" s="12">
        <v>12736564381784.9</v>
      </c>
      <c r="BK70" s="12">
        <v>13760663487274.4</v>
      </c>
      <c r="BL70" s="12">
        <v>13480528531193.6</v>
      </c>
      <c r="BM70" s="12">
        <v>13154981793981.9</v>
      </c>
      <c r="BN70" s="12">
        <v>14754736438720.199</v>
      </c>
      <c r="BO70" s="12">
        <v>14207593902747.6</v>
      </c>
    </row>
    <row r="71" spans="1:67" x14ac:dyDescent="0.2">
      <c r="A71" s="12" t="s">
        <v>345</v>
      </c>
      <c r="B71" s="12" t="s">
        <v>344</v>
      </c>
      <c r="C71" s="12" t="s">
        <v>978</v>
      </c>
      <c r="D71" s="12" t="s">
        <v>979</v>
      </c>
      <c r="AK71" s="12">
        <v>477101651.64837599</v>
      </c>
      <c r="AL71" s="12">
        <v>467872714.75560302</v>
      </c>
      <c r="AM71" s="12">
        <v>531688311.68831199</v>
      </c>
      <c r="AN71" s="12">
        <v>578015625</v>
      </c>
      <c r="AO71" s="12">
        <v>693535954.19006705</v>
      </c>
      <c r="AP71" s="12">
        <v>686490090.14014101</v>
      </c>
      <c r="AQ71" s="12">
        <v>745523074.70195103</v>
      </c>
      <c r="AR71" s="12">
        <v>688918508.95084596</v>
      </c>
      <c r="AS71" s="12">
        <v>706370815.58441603</v>
      </c>
      <c r="AT71" s="12">
        <v>752371683.22153401</v>
      </c>
      <c r="AU71" s="12">
        <v>729321671.42850101</v>
      </c>
      <c r="AV71" s="12">
        <v>870248293.69920397</v>
      </c>
      <c r="AW71" s="12">
        <v>1109054005.4397099</v>
      </c>
      <c r="AX71" s="12">
        <v>1098424709.46293</v>
      </c>
      <c r="AY71" s="12">
        <v>1211161879.6747999</v>
      </c>
      <c r="AZ71" s="12">
        <v>1317974491.05691</v>
      </c>
      <c r="BA71" s="12">
        <v>1380188800</v>
      </c>
      <c r="BB71" s="12">
        <v>1856695551.2195101</v>
      </c>
      <c r="BC71" s="12">
        <v>1589515447.15447</v>
      </c>
      <c r="BD71" s="12">
        <v>2065001626.0162599</v>
      </c>
    </row>
    <row r="72" spans="1:67" x14ac:dyDescent="0.2">
      <c r="A72" s="12" t="s">
        <v>25</v>
      </c>
      <c r="B72" s="12" t="s">
        <v>24</v>
      </c>
      <c r="C72" s="12" t="s">
        <v>978</v>
      </c>
      <c r="D72" s="12" t="s">
        <v>979</v>
      </c>
      <c r="E72" s="12">
        <v>12072126075.396999</v>
      </c>
      <c r="F72" s="12">
        <v>13834300571.4849</v>
      </c>
      <c r="G72" s="12">
        <v>16138545209.246</v>
      </c>
      <c r="H72" s="12">
        <v>19074913947.719601</v>
      </c>
      <c r="I72" s="12">
        <v>21343844643.7341</v>
      </c>
      <c r="J72" s="12">
        <v>24756958694.923801</v>
      </c>
      <c r="K72" s="12">
        <v>28721062242.163399</v>
      </c>
      <c r="L72" s="12">
        <v>31647119228.1982</v>
      </c>
      <c r="M72" s="12">
        <v>31475548481.4095</v>
      </c>
      <c r="N72" s="12">
        <v>36038711599.541</v>
      </c>
      <c r="O72" s="12">
        <v>40992995008.319504</v>
      </c>
      <c r="P72" s="12">
        <v>46619420359.281403</v>
      </c>
      <c r="Q72" s="12">
        <v>59132415221.330597</v>
      </c>
      <c r="R72" s="12">
        <v>78639525985.151306</v>
      </c>
      <c r="S72" s="12">
        <v>97274006345.543701</v>
      </c>
      <c r="T72" s="12">
        <v>114777046376.812</v>
      </c>
      <c r="U72" s="12">
        <v>118507184779.905</v>
      </c>
      <c r="V72" s="12">
        <v>132449277108.43401</v>
      </c>
      <c r="W72" s="12">
        <v>160599687500</v>
      </c>
      <c r="X72" s="12">
        <v>214601955875.06201</v>
      </c>
      <c r="Y72" s="12">
        <v>232766822928.754</v>
      </c>
      <c r="Z72" s="12">
        <v>202807891511.98401</v>
      </c>
      <c r="AA72" s="12">
        <v>195996754505.52802</v>
      </c>
      <c r="AB72" s="12">
        <v>170951185614.849</v>
      </c>
      <c r="AC72" s="12">
        <v>172102910370.52399</v>
      </c>
      <c r="AD72" s="12">
        <v>180793463796.47699</v>
      </c>
      <c r="AE72" s="12">
        <v>251321075204.94199</v>
      </c>
      <c r="AF72" s="12">
        <v>318747935588.19598</v>
      </c>
      <c r="AG72" s="12">
        <v>376160409941.43701</v>
      </c>
      <c r="AH72" s="12">
        <v>414757056921.99597</v>
      </c>
      <c r="AI72" s="12">
        <v>536558591250.40802</v>
      </c>
      <c r="AJ72" s="12">
        <v>577166174539.63196</v>
      </c>
      <c r="AK72" s="12">
        <v>630916018202.50305</v>
      </c>
      <c r="AL72" s="12">
        <v>525075636030.854</v>
      </c>
      <c r="AM72" s="12">
        <v>530562634455.34698</v>
      </c>
      <c r="AN72" s="12">
        <v>614609020549.77295</v>
      </c>
      <c r="AO72" s="12">
        <v>642588992512.80701</v>
      </c>
      <c r="AP72" s="12">
        <v>590077272727.27295</v>
      </c>
      <c r="AQ72" s="12">
        <v>619214834614.099</v>
      </c>
      <c r="AR72" s="12">
        <v>634907542858.302</v>
      </c>
      <c r="AS72" s="12">
        <v>598363313494.90295</v>
      </c>
      <c r="AT72" s="12">
        <v>627830029412.20496</v>
      </c>
      <c r="AU72" s="12">
        <v>708756677088.62903</v>
      </c>
      <c r="AV72" s="12">
        <v>907491523174.11597</v>
      </c>
      <c r="AW72" s="12">
        <v>1069055675273.75</v>
      </c>
      <c r="AX72" s="12">
        <v>1153715822717.51</v>
      </c>
      <c r="AY72" s="12">
        <v>1260398977831.76</v>
      </c>
      <c r="AZ72" s="12">
        <v>1474002579820</v>
      </c>
      <c r="BA72" s="12">
        <v>1631863493552.3401</v>
      </c>
      <c r="BB72" s="12">
        <v>1491472923706.6399</v>
      </c>
      <c r="BC72" s="12">
        <v>1422108199783.3401</v>
      </c>
      <c r="BD72" s="12">
        <v>1480710495710.1201</v>
      </c>
      <c r="BE72" s="12">
        <v>1324750738725</v>
      </c>
      <c r="BF72" s="12">
        <v>1355579535912.55</v>
      </c>
      <c r="BG72" s="12">
        <v>1371820537888.6201</v>
      </c>
      <c r="BH72" s="12">
        <v>1196156971279.6899</v>
      </c>
      <c r="BI72" s="12">
        <v>1233554967011.6799</v>
      </c>
      <c r="BJ72" s="12">
        <v>1313245330197.6499</v>
      </c>
      <c r="BK72" s="12">
        <v>1421702715218.04</v>
      </c>
      <c r="BL72" s="12">
        <v>1394320055129.4099</v>
      </c>
      <c r="BM72" s="12">
        <v>1278128867875.49</v>
      </c>
      <c r="BN72" s="12">
        <v>1445651653604.6299</v>
      </c>
      <c r="BO72" s="12">
        <v>1417800466262.6499</v>
      </c>
    </row>
    <row r="73" spans="1:67" x14ac:dyDescent="0.2">
      <c r="A73" s="12" t="s">
        <v>151</v>
      </c>
      <c r="B73" s="12" t="s">
        <v>150</v>
      </c>
      <c r="C73" s="12" t="s">
        <v>978</v>
      </c>
      <c r="D73" s="12" t="s">
        <v>979</v>
      </c>
      <c r="AN73" s="12">
        <v>4502970889.0637302</v>
      </c>
      <c r="AO73" s="12">
        <v>4786018988.1649103</v>
      </c>
      <c r="AP73" s="12">
        <v>5154420649.2335396</v>
      </c>
      <c r="AQ73" s="12">
        <v>5674080542.8857498</v>
      </c>
      <c r="AR73" s="12">
        <v>5756912265.75809</v>
      </c>
      <c r="AS73" s="12">
        <v>5686579747.5352402</v>
      </c>
      <c r="AT73" s="12">
        <v>6254649538.98487</v>
      </c>
      <c r="AU73" s="12">
        <v>7367975887.7272301</v>
      </c>
      <c r="AV73" s="12">
        <v>9874013098.4643192</v>
      </c>
      <c r="AW73" s="12">
        <v>12145911801.242201</v>
      </c>
      <c r="AX73" s="12">
        <v>14106790200.2239</v>
      </c>
      <c r="AY73" s="12">
        <v>17022870405.218901</v>
      </c>
      <c r="AZ73" s="12">
        <v>22449129482.617001</v>
      </c>
      <c r="BA73" s="12">
        <v>24341678628.973202</v>
      </c>
      <c r="BB73" s="12">
        <v>19633031397.610401</v>
      </c>
      <c r="BC73" s="12">
        <v>19523477325.623501</v>
      </c>
      <c r="BD73" s="12">
        <v>23213994093.4631</v>
      </c>
      <c r="BE73" s="12">
        <v>23019150071.186699</v>
      </c>
      <c r="BF73" s="12">
        <v>25115753366.111401</v>
      </c>
      <c r="BG73" s="12">
        <v>26634083965.098701</v>
      </c>
      <c r="BH73" s="12">
        <v>22890762090.150799</v>
      </c>
      <c r="BI73" s="12">
        <v>24072829276.774399</v>
      </c>
      <c r="BJ73" s="12">
        <v>26924385103.065899</v>
      </c>
      <c r="BK73" s="12">
        <v>30624720196.229</v>
      </c>
      <c r="BL73" s="12">
        <v>31081901909.215599</v>
      </c>
      <c r="BM73" s="12">
        <v>31370395572.7658</v>
      </c>
      <c r="BN73" s="12">
        <v>37191166151.980003</v>
      </c>
      <c r="BO73" s="12">
        <v>38100812958.5196</v>
      </c>
    </row>
    <row r="74" spans="1:67" x14ac:dyDescent="0.2">
      <c r="A74" s="12" t="s">
        <v>119</v>
      </c>
      <c r="B74" s="12" t="s">
        <v>118</v>
      </c>
      <c r="C74" s="12" t="s">
        <v>978</v>
      </c>
      <c r="D74" s="12" t="s">
        <v>979</v>
      </c>
      <c r="Z74" s="12">
        <v>7324903188.4057999</v>
      </c>
      <c r="AA74" s="12">
        <v>7707678019.3236704</v>
      </c>
      <c r="AB74" s="12">
        <v>8567890821.2560396</v>
      </c>
      <c r="AC74" s="12">
        <v>8096302367.1497602</v>
      </c>
      <c r="AD74" s="12">
        <v>9480840483.0917892</v>
      </c>
      <c r="AE74" s="12">
        <v>9848600869.5652199</v>
      </c>
      <c r="AF74" s="12">
        <v>10527338647.343</v>
      </c>
      <c r="AG74" s="12">
        <v>10908935748.792299</v>
      </c>
      <c r="AH74" s="12">
        <v>11476584879.2271</v>
      </c>
      <c r="AI74" s="12">
        <v>12175166763.285</v>
      </c>
      <c r="AJ74" s="12">
        <v>13463868357.4879</v>
      </c>
      <c r="AK74" s="12">
        <v>10492993077.609301</v>
      </c>
      <c r="AL74" s="12">
        <v>8830712713.9078102</v>
      </c>
      <c r="AM74" s="12">
        <v>6927950564.5565701</v>
      </c>
      <c r="AN74" s="12">
        <v>7663984567.9012299</v>
      </c>
      <c r="AO74" s="12">
        <v>8547939730.6237402</v>
      </c>
      <c r="AP74" s="12">
        <v>8589233860.1772203</v>
      </c>
      <c r="AQ74" s="12">
        <v>7818205592.9242802</v>
      </c>
      <c r="AR74" s="12">
        <v>7700833482.0061502</v>
      </c>
      <c r="AS74" s="12">
        <v>8242349617.8638</v>
      </c>
      <c r="AT74" s="12">
        <v>8231326016.4749403</v>
      </c>
      <c r="AU74" s="12">
        <v>7850809498.1680298</v>
      </c>
      <c r="AV74" s="12">
        <v>8623691300.0407906</v>
      </c>
      <c r="AW74" s="12">
        <v>10131187261.442101</v>
      </c>
      <c r="AX74" s="12">
        <v>12401139453.973801</v>
      </c>
      <c r="AY74" s="12">
        <v>15280861834.6024</v>
      </c>
      <c r="AZ74" s="12">
        <v>19707616772.799599</v>
      </c>
      <c r="BA74" s="12">
        <v>27066912635.222801</v>
      </c>
      <c r="BB74" s="12">
        <v>32437389116.037998</v>
      </c>
      <c r="BC74" s="12">
        <v>29933790334.341801</v>
      </c>
      <c r="BD74" s="12">
        <v>31952763089.330002</v>
      </c>
      <c r="BE74" s="12">
        <v>43310721414.082901</v>
      </c>
      <c r="BF74" s="12">
        <v>47648276605.012299</v>
      </c>
      <c r="BG74" s="12">
        <v>55612228233.517899</v>
      </c>
      <c r="BH74" s="12">
        <v>64589328550.595299</v>
      </c>
      <c r="BI74" s="12">
        <v>74296745207.872101</v>
      </c>
      <c r="BJ74" s="12">
        <v>81770886825.604797</v>
      </c>
      <c r="BK74" s="12">
        <v>84269196625.878403</v>
      </c>
      <c r="BL74" s="12">
        <v>95912607722.303207</v>
      </c>
      <c r="BM74" s="12">
        <v>107657734392.446</v>
      </c>
      <c r="BN74" s="12">
        <v>111261882958.42599</v>
      </c>
      <c r="BO74" s="12">
        <v>126783471597.67101</v>
      </c>
    </row>
    <row r="75" spans="1:67" x14ac:dyDescent="0.2">
      <c r="A75" s="12" t="s">
        <v>1009</v>
      </c>
      <c r="B75" s="12" t="s">
        <v>1010</v>
      </c>
      <c r="C75" s="12" t="s">
        <v>978</v>
      </c>
      <c r="D75" s="12" t="s">
        <v>979</v>
      </c>
      <c r="O75" s="12">
        <v>725882347880.34595</v>
      </c>
      <c r="P75" s="12">
        <v>820757859994.29297</v>
      </c>
      <c r="Q75" s="12">
        <v>990362172790.34705</v>
      </c>
      <c r="R75" s="12">
        <v>1281934381027.1399</v>
      </c>
      <c r="S75" s="12">
        <v>1451653955755.5601</v>
      </c>
      <c r="T75" s="12">
        <v>1690761494478.9199</v>
      </c>
      <c r="U75" s="12">
        <v>1769935318587.3799</v>
      </c>
      <c r="V75" s="12">
        <v>2004765804618.25</v>
      </c>
      <c r="W75" s="12">
        <v>2442533896219.6099</v>
      </c>
      <c r="X75" s="12">
        <v>2952640055239.0298</v>
      </c>
      <c r="Y75" s="12">
        <v>3302959936728.8999</v>
      </c>
      <c r="Z75" s="12">
        <v>2879790705886.4399</v>
      </c>
      <c r="AA75" s="12">
        <v>2777190076954.5098</v>
      </c>
      <c r="AB75" s="12">
        <v>2701887970990.3901</v>
      </c>
      <c r="AC75" s="12">
        <v>2603220591295.7798</v>
      </c>
      <c r="AD75" s="12">
        <v>2677481057422.5801</v>
      </c>
      <c r="AE75" s="12">
        <v>3743790443177.27</v>
      </c>
      <c r="AF75" s="12">
        <v>4630939521325.7402</v>
      </c>
      <c r="AG75" s="12">
        <v>5083941391067.04</v>
      </c>
      <c r="AH75" s="12">
        <v>5193045049320.9297</v>
      </c>
      <c r="AI75" s="12">
        <v>6497764960998.8701</v>
      </c>
      <c r="AJ75" s="12">
        <v>6735918095931.5195</v>
      </c>
      <c r="AK75" s="12">
        <v>7406346647462.8301</v>
      </c>
      <c r="AL75" s="12">
        <v>6761164498941.4404</v>
      </c>
      <c r="AM75" s="12">
        <v>7161925326227.7695</v>
      </c>
      <c r="AN75" s="12">
        <v>8295832183149.5098</v>
      </c>
      <c r="AO75" s="12">
        <v>8431354015024.8301</v>
      </c>
      <c r="AP75" s="12">
        <v>7733772686274.6396</v>
      </c>
      <c r="AQ75" s="12">
        <v>7969828384040.8203</v>
      </c>
      <c r="AR75" s="12">
        <v>7925877863372.7695</v>
      </c>
      <c r="AS75" s="12">
        <v>7276390991857.4502</v>
      </c>
      <c r="AT75" s="12">
        <v>7393612739232.7803</v>
      </c>
      <c r="AU75" s="12">
        <v>8083519004561.54</v>
      </c>
      <c r="AV75" s="12">
        <v>9932133486284.8008</v>
      </c>
      <c r="AW75" s="12">
        <v>11418900352971.1</v>
      </c>
      <c r="AX75" s="12">
        <v>11910068707011.699</v>
      </c>
      <c r="AY75" s="12">
        <v>12712635610430.1</v>
      </c>
      <c r="AZ75" s="12">
        <v>14727519982190.6</v>
      </c>
      <c r="BA75" s="12">
        <v>16295383915395.199</v>
      </c>
      <c r="BB75" s="12">
        <v>14762732184092.9</v>
      </c>
      <c r="BC75" s="12">
        <v>14556037351406</v>
      </c>
      <c r="BD75" s="12">
        <v>15765045684120.1</v>
      </c>
      <c r="BE75" s="12">
        <v>14641507897977.1</v>
      </c>
      <c r="BF75" s="12">
        <v>15294695568087</v>
      </c>
      <c r="BG75" s="12">
        <v>15651155752825.699</v>
      </c>
      <c r="BH75" s="12">
        <v>13553676666875.9</v>
      </c>
      <c r="BI75" s="12">
        <v>13888512857169</v>
      </c>
      <c r="BJ75" s="12">
        <v>14765543450855</v>
      </c>
      <c r="BK75" s="12">
        <v>15980992271824.9</v>
      </c>
      <c r="BL75" s="12">
        <v>15693432719569.6</v>
      </c>
      <c r="BM75" s="12">
        <v>15381174426002.4</v>
      </c>
      <c r="BN75" s="12">
        <v>17315218527836.1</v>
      </c>
      <c r="BO75" s="12">
        <v>16746544871112</v>
      </c>
    </row>
    <row r="76" spans="1:67" x14ac:dyDescent="0.2">
      <c r="A76" s="12" t="s">
        <v>1011</v>
      </c>
      <c r="B76" s="12" t="s">
        <v>1012</v>
      </c>
      <c r="C76" s="12" t="s">
        <v>978</v>
      </c>
      <c r="D76" s="12" t="s">
        <v>979</v>
      </c>
      <c r="M76" s="12">
        <v>44704583410.115402</v>
      </c>
      <c r="N76" s="12">
        <v>48812226414.741203</v>
      </c>
      <c r="O76" s="12">
        <v>61468178481.780403</v>
      </c>
      <c r="P76" s="12">
        <v>61401195349.613197</v>
      </c>
      <c r="Q76" s="12">
        <v>70636760039.112503</v>
      </c>
      <c r="R76" s="12">
        <v>86157018560.374893</v>
      </c>
      <c r="S76" s="12">
        <v>131591754494.922</v>
      </c>
      <c r="T76" s="12">
        <v>147973733972.83499</v>
      </c>
      <c r="U76" s="12">
        <v>177934689945.548</v>
      </c>
      <c r="V76" s="12">
        <v>192714995758.32199</v>
      </c>
      <c r="W76" s="12">
        <v>212469868919.10501</v>
      </c>
      <c r="X76" s="12">
        <v>273180904149.53101</v>
      </c>
      <c r="Y76" s="12">
        <v>349523007002.711</v>
      </c>
      <c r="Z76" s="12">
        <v>498832229981.52197</v>
      </c>
      <c r="AA76" s="12">
        <v>475087364676.263</v>
      </c>
      <c r="AB76" s="12">
        <v>405256428687.47803</v>
      </c>
      <c r="AC76" s="12">
        <v>369287412097.61102</v>
      </c>
      <c r="AD76" s="12">
        <v>373484755838.53601</v>
      </c>
      <c r="AE76" s="12">
        <v>363775978864.34601</v>
      </c>
      <c r="AF76" s="12">
        <v>374344638014.56403</v>
      </c>
      <c r="AG76" s="12">
        <v>392472407050.94897</v>
      </c>
      <c r="AH76" s="12">
        <v>387040694451.703</v>
      </c>
      <c r="AI76" s="12">
        <v>560686374251.125</v>
      </c>
      <c r="AJ76" s="12">
        <v>400468026855.14398</v>
      </c>
      <c r="AK76" s="12">
        <v>364574414802.07599</v>
      </c>
      <c r="AL76" s="12">
        <v>373440446067.64697</v>
      </c>
      <c r="AM76" s="12">
        <v>387436476358.58502</v>
      </c>
      <c r="AN76" s="12">
        <v>470664404112.35602</v>
      </c>
      <c r="AO76" s="12">
        <v>513519667905.96503</v>
      </c>
      <c r="AP76" s="12">
        <v>573427838404.15906</v>
      </c>
      <c r="AQ76" s="12">
        <v>589909790687.32996</v>
      </c>
      <c r="AR76" s="12">
        <v>455616978310.76898</v>
      </c>
      <c r="AS76" s="12">
        <v>528335401937.61798</v>
      </c>
      <c r="AT76" s="12">
        <v>525133201972.435</v>
      </c>
      <c r="AU76" s="12">
        <v>516368531530.66199</v>
      </c>
      <c r="AV76" s="12">
        <v>543451179127.487</v>
      </c>
      <c r="AW76" s="12">
        <v>683123037363.38501</v>
      </c>
      <c r="AX76" s="12">
        <v>858480468832.58801</v>
      </c>
      <c r="AY76" s="12">
        <v>1064294569294.9</v>
      </c>
      <c r="AZ76" s="12">
        <v>1297430889491.5601</v>
      </c>
      <c r="BA76" s="12">
        <v>1646438627430.5701</v>
      </c>
      <c r="BB76" s="12">
        <v>1514729175511.95</v>
      </c>
      <c r="BC76" s="12">
        <v>1787710804311.23</v>
      </c>
      <c r="BD76" s="12">
        <v>1666367102471.3201</v>
      </c>
      <c r="BE76" s="12">
        <v>1863312559897.45</v>
      </c>
      <c r="BF76" s="12">
        <v>1935463330581.76</v>
      </c>
      <c r="BG76" s="12">
        <v>2053600812764.8</v>
      </c>
      <c r="BH76" s="12">
        <v>1617270910773.29</v>
      </c>
      <c r="BI76" s="12">
        <v>1490264857404.3999</v>
      </c>
      <c r="BJ76" s="12">
        <v>1549539439467.02</v>
      </c>
      <c r="BK76" s="12">
        <v>1735106586576.45</v>
      </c>
      <c r="BL76" s="12">
        <v>1838740662563.75</v>
      </c>
      <c r="BM76" s="12">
        <v>1666563897610.01</v>
      </c>
      <c r="BN76" s="12">
        <v>1782595197342.3601</v>
      </c>
      <c r="BO76" s="12">
        <v>1906134056808.8401</v>
      </c>
    </row>
    <row r="77" spans="1:67" x14ac:dyDescent="0.2">
      <c r="A77" s="12" t="s">
        <v>9</v>
      </c>
      <c r="B77" s="12" t="s">
        <v>8</v>
      </c>
      <c r="C77" s="12" t="s">
        <v>978</v>
      </c>
      <c r="D77" s="12" t="s">
        <v>979</v>
      </c>
      <c r="E77" s="12">
        <v>5224102195.52771</v>
      </c>
      <c r="F77" s="12">
        <v>5921659485.0328398</v>
      </c>
      <c r="G77" s="12">
        <v>6340580854.3907299</v>
      </c>
      <c r="H77" s="12">
        <v>6885920328.66187</v>
      </c>
      <c r="I77" s="12">
        <v>7766655085.7858801</v>
      </c>
      <c r="J77" s="12">
        <v>8589340019.02985</v>
      </c>
      <c r="K77" s="12">
        <v>9208524504.8768406</v>
      </c>
      <c r="L77" s="12">
        <v>9368954010.3132</v>
      </c>
      <c r="M77" s="12">
        <v>8823033880.3299294</v>
      </c>
      <c r="N77" s="12">
        <v>10070766720.501101</v>
      </c>
      <c r="O77" s="12">
        <v>11357516987.5425</v>
      </c>
      <c r="P77" s="12">
        <v>12527405512.9298</v>
      </c>
      <c r="Q77" s="12">
        <v>14743186119.8738</v>
      </c>
      <c r="R77" s="12">
        <v>19472363466.625198</v>
      </c>
      <c r="S77" s="12">
        <v>24848821490.467899</v>
      </c>
      <c r="T77" s="12">
        <v>29472623242.2822</v>
      </c>
      <c r="U77" s="12">
        <v>31849513771.3494</v>
      </c>
      <c r="V77" s="12">
        <v>33499799321.233601</v>
      </c>
      <c r="W77" s="12">
        <v>36256160288.808701</v>
      </c>
      <c r="X77" s="12">
        <v>44465255686.1548</v>
      </c>
      <c r="Y77" s="12">
        <v>53645202422.6968</v>
      </c>
      <c r="Z77" s="12">
        <v>52448332874.07</v>
      </c>
      <c r="AA77" s="12">
        <v>52797582336.252602</v>
      </c>
      <c r="AB77" s="12">
        <v>50973526900.085403</v>
      </c>
      <c r="AC77" s="12">
        <v>52888800949.742798</v>
      </c>
      <c r="AD77" s="12">
        <v>55875863392.171898</v>
      </c>
      <c r="AE77" s="12">
        <v>73531550551.255005</v>
      </c>
      <c r="AF77" s="12">
        <v>91594751792.235901</v>
      </c>
      <c r="AG77" s="12">
        <v>109058990760.483</v>
      </c>
      <c r="AH77" s="12">
        <v>119012054870.44501</v>
      </c>
      <c r="AI77" s="12">
        <v>141438345513.91699</v>
      </c>
      <c r="AJ77" s="12">
        <v>127773856785.767</v>
      </c>
      <c r="AK77" s="12">
        <v>112532519246.084</v>
      </c>
      <c r="AL77" s="12">
        <v>89214114708.025406</v>
      </c>
      <c r="AM77" s="12">
        <v>103299943084.804</v>
      </c>
      <c r="AN77" s="12">
        <v>134189814814.815</v>
      </c>
      <c r="AO77" s="12">
        <v>132129174216.92999</v>
      </c>
      <c r="AP77" s="12">
        <v>126912152101.707</v>
      </c>
      <c r="AQ77" s="12">
        <v>134038718291.05499</v>
      </c>
      <c r="AR77" s="12">
        <v>135264083658.688</v>
      </c>
      <c r="AS77" s="12">
        <v>126019543413.334</v>
      </c>
      <c r="AT77" s="12">
        <v>129533107311.811</v>
      </c>
      <c r="AU77" s="12">
        <v>140404460203.138</v>
      </c>
      <c r="AV77" s="12">
        <v>171652458349.41101</v>
      </c>
      <c r="AW77" s="12">
        <v>197479443979.151</v>
      </c>
      <c r="AX77" s="12">
        <v>204885494686.38101</v>
      </c>
      <c r="AY77" s="12">
        <v>217089269791.76401</v>
      </c>
      <c r="AZ77" s="12">
        <v>256378067752.15799</v>
      </c>
      <c r="BA77" s="12">
        <v>285716311136.71899</v>
      </c>
      <c r="BB77" s="12">
        <v>253497520828.51501</v>
      </c>
      <c r="BC77" s="12">
        <v>249424310816.66699</v>
      </c>
      <c r="BD77" s="12">
        <v>275604356167.31598</v>
      </c>
      <c r="BE77" s="12">
        <v>258290060227.73401</v>
      </c>
      <c r="BF77" s="12">
        <v>271362405890.58899</v>
      </c>
      <c r="BG77" s="12">
        <v>274862826772.15601</v>
      </c>
      <c r="BH77" s="12">
        <v>234534382384.76599</v>
      </c>
      <c r="BI77" s="12">
        <v>240771351298.83301</v>
      </c>
      <c r="BJ77" s="12">
        <v>255647979916.47101</v>
      </c>
      <c r="BK77" s="12">
        <v>275708001767.84302</v>
      </c>
      <c r="BL77" s="12">
        <v>268514916972.54901</v>
      </c>
      <c r="BM77" s="12">
        <v>271886077382.10199</v>
      </c>
      <c r="BN77" s="12">
        <v>296470417085.26703</v>
      </c>
      <c r="BO77" s="12">
        <v>282649838009.729</v>
      </c>
    </row>
    <row r="78" spans="1:67" x14ac:dyDescent="0.2">
      <c r="A78" s="12" t="s">
        <v>183</v>
      </c>
      <c r="B78" s="12" t="s">
        <v>182</v>
      </c>
      <c r="C78" s="12" t="s">
        <v>978</v>
      </c>
      <c r="D78" s="12" t="s">
        <v>979</v>
      </c>
      <c r="E78" s="12">
        <v>112328422.113084</v>
      </c>
      <c r="F78" s="12">
        <v>116987784.913739</v>
      </c>
      <c r="G78" s="12">
        <v>122906434.95781399</v>
      </c>
      <c r="H78" s="12">
        <v>129454728.62359899</v>
      </c>
      <c r="I78" s="12">
        <v>140032741.46832901</v>
      </c>
      <c r="J78" s="12">
        <v>147084750.03148201</v>
      </c>
      <c r="K78" s="12">
        <v>150603925.51585299</v>
      </c>
      <c r="L78" s="12">
        <v>162625885.863484</v>
      </c>
      <c r="M78" s="12">
        <v>166952937.135005</v>
      </c>
      <c r="N78" s="12">
        <v>182182067.70356801</v>
      </c>
      <c r="O78" s="12">
        <v>219878482.17356399</v>
      </c>
      <c r="P78" s="12">
        <v>247749327.72126701</v>
      </c>
      <c r="Q78" s="12">
        <v>316656648.69895703</v>
      </c>
      <c r="R78" s="12">
        <v>425950487.519894</v>
      </c>
      <c r="S78" s="12">
        <v>558587097.382833</v>
      </c>
      <c r="T78" s="12">
        <v>684282434.36109495</v>
      </c>
      <c r="U78" s="12">
        <v>694540806.38064396</v>
      </c>
      <c r="V78" s="12">
        <v>719501765.78304899</v>
      </c>
      <c r="W78" s="12">
        <v>829267889.42937303</v>
      </c>
      <c r="X78" s="12">
        <v>1019691460.1737601</v>
      </c>
      <c r="Y78" s="12">
        <v>1202618816.2085199</v>
      </c>
      <c r="Z78" s="12">
        <v>1235626770.5092399</v>
      </c>
      <c r="AA78" s="12">
        <v>1194059943.2247801</v>
      </c>
      <c r="AB78" s="12">
        <v>1123085190.0650899</v>
      </c>
      <c r="AC78" s="12">
        <v>1178000677.99929</v>
      </c>
      <c r="AD78" s="12">
        <v>1141168943.9766099</v>
      </c>
      <c r="AE78" s="12">
        <v>1290267339.6500599</v>
      </c>
      <c r="AF78" s="12">
        <v>1177947965.1214199</v>
      </c>
      <c r="AG78" s="12">
        <v>1110009522.7574301</v>
      </c>
      <c r="AH78" s="12">
        <v>1182660265.76635</v>
      </c>
      <c r="AI78" s="12">
        <v>1337017559.4972799</v>
      </c>
      <c r="AJ78" s="12">
        <v>1383883249.5910001</v>
      </c>
      <c r="AK78" s="12">
        <v>1532411039.05479</v>
      </c>
      <c r="AL78" s="12">
        <v>1636101246.9394</v>
      </c>
      <c r="AM78" s="12">
        <v>1825732092.5467401</v>
      </c>
      <c r="AN78" s="12">
        <v>1970301486.20561</v>
      </c>
      <c r="AO78" s="12">
        <v>2128696643.6257401</v>
      </c>
      <c r="AP78" s="12">
        <v>2090221137.02876</v>
      </c>
      <c r="AQ78" s="12">
        <v>1653146716.58235</v>
      </c>
      <c r="AR78" s="12">
        <v>1936459986.03795</v>
      </c>
      <c r="AS78" s="12">
        <v>1678219507.8982899</v>
      </c>
      <c r="AT78" s="12">
        <v>1652462023.4621501</v>
      </c>
      <c r="AU78" s="12">
        <v>1833279985.3674099</v>
      </c>
      <c r="AV78" s="12">
        <v>2300492465.3227601</v>
      </c>
      <c r="AW78" s="12">
        <v>2708078476.6301198</v>
      </c>
      <c r="AX78" s="12">
        <v>2980403844.7209601</v>
      </c>
      <c r="AY78" s="12">
        <v>3076305452.8650599</v>
      </c>
      <c r="AZ78" s="12">
        <v>3378314599.76402</v>
      </c>
      <c r="BA78" s="12">
        <v>3523185919.55826</v>
      </c>
      <c r="BB78" s="12">
        <v>2870624635.6803198</v>
      </c>
      <c r="BC78" s="12">
        <v>3140166712.7962399</v>
      </c>
      <c r="BD78" s="12">
        <v>3779411899.3748298</v>
      </c>
      <c r="BE78" s="12">
        <v>3972028104.47328</v>
      </c>
      <c r="BF78" s="12">
        <v>4189967998.5142398</v>
      </c>
      <c r="BG78" s="12">
        <v>4857104791.0038605</v>
      </c>
      <c r="BH78" s="12">
        <v>4682479912.0520296</v>
      </c>
      <c r="BI78" s="12">
        <v>4930213634.3569202</v>
      </c>
      <c r="BJ78" s="12">
        <v>5353469171.0611</v>
      </c>
      <c r="BK78" s="12">
        <v>5581425324.91185</v>
      </c>
      <c r="BL78" s="12">
        <v>5444407214.3175802</v>
      </c>
      <c r="BM78" s="12">
        <v>4432466237.0958796</v>
      </c>
      <c r="BN78" s="12">
        <v>4305031630.8180799</v>
      </c>
      <c r="BO78" s="12">
        <v>4979979546.0122995</v>
      </c>
    </row>
    <row r="79" spans="1:67" x14ac:dyDescent="0.2">
      <c r="A79" s="12" t="s">
        <v>63</v>
      </c>
      <c r="B79" s="12" t="s">
        <v>62</v>
      </c>
      <c r="C79" s="12" t="s">
        <v>978</v>
      </c>
      <c r="D79" s="12" t="s">
        <v>979</v>
      </c>
      <c r="E79" s="12">
        <v>62225478000.882202</v>
      </c>
      <c r="F79" s="12">
        <v>67461644222.035202</v>
      </c>
      <c r="G79" s="12">
        <v>75607529809.928802</v>
      </c>
      <c r="H79" s="12">
        <v>84759195105.869293</v>
      </c>
      <c r="I79" s="12">
        <v>94007851047.367798</v>
      </c>
      <c r="J79" s="12">
        <v>101537248148.427</v>
      </c>
      <c r="K79" s="12">
        <v>110045852177.92799</v>
      </c>
      <c r="L79" s="12">
        <v>118972977486.207</v>
      </c>
      <c r="M79" s="12">
        <v>129785441507.45599</v>
      </c>
      <c r="N79" s="12">
        <v>141903068680.30899</v>
      </c>
      <c r="O79" s="12">
        <v>148456359985.827</v>
      </c>
      <c r="P79" s="12">
        <v>165966615366.40201</v>
      </c>
      <c r="Q79" s="12">
        <v>203494148244.47299</v>
      </c>
      <c r="R79" s="12">
        <v>264429876252.20999</v>
      </c>
      <c r="S79" s="12">
        <v>285553737043.099</v>
      </c>
      <c r="T79" s="12">
        <v>360832186018.05103</v>
      </c>
      <c r="U79" s="12">
        <v>372319038514.06702</v>
      </c>
      <c r="V79" s="12">
        <v>410279486493.71503</v>
      </c>
      <c r="W79" s="12">
        <v>506709302325.58099</v>
      </c>
      <c r="X79" s="12">
        <v>613953129818.06995</v>
      </c>
      <c r="Y79" s="12">
        <v>701288419745.42102</v>
      </c>
      <c r="Z79" s="12">
        <v>615552202776.10095</v>
      </c>
      <c r="AA79" s="12">
        <v>584877732308.61401</v>
      </c>
      <c r="AB79" s="12">
        <v>559869179791.71997</v>
      </c>
      <c r="AC79" s="12">
        <v>530683779929.44501</v>
      </c>
      <c r="AD79" s="12">
        <v>553138414367.06104</v>
      </c>
      <c r="AE79" s="12">
        <v>771470783218.10803</v>
      </c>
      <c r="AF79" s="12">
        <v>934173305685.91101</v>
      </c>
      <c r="AG79" s="12">
        <v>1018847043277.17</v>
      </c>
      <c r="AH79" s="12">
        <v>1025211803413.53</v>
      </c>
      <c r="AI79" s="12">
        <v>1269179616913.6299</v>
      </c>
      <c r="AJ79" s="12">
        <v>1269276828275.78</v>
      </c>
      <c r="AK79" s="12">
        <v>1401465923172.24</v>
      </c>
      <c r="AL79" s="12">
        <v>1322815612694</v>
      </c>
      <c r="AM79" s="12">
        <v>1393982750472.5901</v>
      </c>
      <c r="AN79" s="12">
        <v>1601094756209.75</v>
      </c>
      <c r="AO79" s="12">
        <v>1605675086549.5601</v>
      </c>
      <c r="AP79" s="12">
        <v>1452884917959.0901</v>
      </c>
      <c r="AQ79" s="12">
        <v>1503108739159.4399</v>
      </c>
      <c r="AR79" s="12">
        <v>1493151737698.46</v>
      </c>
      <c r="AS79" s="12">
        <v>1365639660792.1599</v>
      </c>
      <c r="AT79" s="12">
        <v>1377657339291.3401</v>
      </c>
      <c r="AU79" s="12">
        <v>1501409382971.3799</v>
      </c>
      <c r="AV79" s="12">
        <v>1844544792036.8601</v>
      </c>
      <c r="AW79" s="12">
        <v>2119633181634.3701</v>
      </c>
      <c r="AX79" s="12">
        <v>2196945232435.8</v>
      </c>
      <c r="AY79" s="12">
        <v>2320536221304.7002</v>
      </c>
      <c r="AZ79" s="12">
        <v>2660591246211.77</v>
      </c>
      <c r="BA79" s="12">
        <v>2930303780828.1201</v>
      </c>
      <c r="BB79" s="12">
        <v>2700887366932.0298</v>
      </c>
      <c r="BC79" s="12">
        <v>2645187882116.6699</v>
      </c>
      <c r="BD79" s="12">
        <v>2865157541994.1699</v>
      </c>
      <c r="BE79" s="12">
        <v>2683671716967.1899</v>
      </c>
      <c r="BF79" s="12">
        <v>2811876903329.0298</v>
      </c>
      <c r="BG79" s="12">
        <v>2855964488590.1899</v>
      </c>
      <c r="BH79" s="12">
        <v>2439188643162.5</v>
      </c>
      <c r="BI79" s="12">
        <v>2472964344587.1699</v>
      </c>
      <c r="BJ79" s="12">
        <v>2595151045197.6499</v>
      </c>
      <c r="BK79" s="12">
        <v>2790956878746.6602</v>
      </c>
      <c r="BL79" s="12">
        <v>2728870246705.8799</v>
      </c>
      <c r="BM79" s="12">
        <v>2647418691598.4502</v>
      </c>
      <c r="BN79" s="12">
        <v>2959355819170.5</v>
      </c>
      <c r="BO79" s="12">
        <v>2779092236505.8501</v>
      </c>
    </row>
    <row r="80" spans="1:67" x14ac:dyDescent="0.2">
      <c r="A80" s="12" t="s">
        <v>920</v>
      </c>
      <c r="B80" s="12" t="s">
        <v>1013</v>
      </c>
      <c r="C80" s="12" t="s">
        <v>978</v>
      </c>
      <c r="D80" s="12" t="s">
        <v>979</v>
      </c>
      <c r="J80" s="12">
        <v>57954522.421725899</v>
      </c>
      <c r="K80" s="12">
        <v>64397131.084645703</v>
      </c>
      <c r="L80" s="12">
        <v>66225403.558806904</v>
      </c>
      <c r="M80" s="12">
        <v>65186666.666666701</v>
      </c>
      <c r="N80" s="12">
        <v>70106666.666666701</v>
      </c>
      <c r="O80" s="12">
        <v>84933333.333333299</v>
      </c>
      <c r="P80" s="12">
        <v>99219082.853799105</v>
      </c>
      <c r="Q80" s="12">
        <v>119335897.815202</v>
      </c>
      <c r="R80" s="12">
        <v>161236465.82362199</v>
      </c>
      <c r="S80" s="12">
        <v>196771070.89533901</v>
      </c>
      <c r="T80" s="12">
        <v>227404436.013679</v>
      </c>
      <c r="U80" s="12">
        <v>270470345.44935697</v>
      </c>
      <c r="V80" s="12">
        <v>347798304.63526702</v>
      </c>
      <c r="W80" s="12">
        <v>397833034.88451201</v>
      </c>
      <c r="X80" s="12">
        <v>448568492.65856099</v>
      </c>
      <c r="Y80" s="12">
        <v>493014300.00521702</v>
      </c>
      <c r="Z80" s="12">
        <v>456244919.010912</v>
      </c>
      <c r="AA80" s="12">
        <v>444047495.320099</v>
      </c>
      <c r="AB80" s="12">
        <v>486605127.70268101</v>
      </c>
      <c r="AC80" s="12">
        <v>426008864.69216901</v>
      </c>
      <c r="AD80" s="12">
        <v>459307281.19533497</v>
      </c>
      <c r="AE80" s="12">
        <v>688914288.87829804</v>
      </c>
      <c r="AF80" s="12">
        <v>886508622.33431602</v>
      </c>
      <c r="AG80" s="12">
        <v>968576956.93026495</v>
      </c>
      <c r="AH80" s="12">
        <v>871935350.38490903</v>
      </c>
      <c r="AI80" s="12">
        <v>960805408.94987202</v>
      </c>
      <c r="AJ80" s="12">
        <v>909253214.82607996</v>
      </c>
      <c r="AK80" s="12">
        <v>912670413.32588303</v>
      </c>
      <c r="AL80" s="12">
        <v>760957189.75764596</v>
      </c>
      <c r="AM80" s="12">
        <v>758739178.61217105</v>
      </c>
      <c r="AN80" s="12">
        <v>901404709.83068395</v>
      </c>
      <c r="AO80" s="12">
        <v>989536914.65908098</v>
      </c>
      <c r="AP80" s="12">
        <v>933763083.39562702</v>
      </c>
      <c r="AQ80" s="12">
        <v>1104744235.30111</v>
      </c>
      <c r="AR80" s="12">
        <v>1127684827.3568599</v>
      </c>
      <c r="AS80" s="12">
        <v>1067109530.64798</v>
      </c>
      <c r="AT80" s="12">
        <v>1160268212.0729101</v>
      </c>
      <c r="AU80" s="12">
        <v>1275093689.27107</v>
      </c>
      <c r="AV80" s="12">
        <v>1501941580.88903</v>
      </c>
      <c r="AW80" s="12">
        <v>1724770770.83393</v>
      </c>
      <c r="AX80" s="12">
        <v>1759739599.2269399</v>
      </c>
      <c r="AY80" s="12">
        <v>2017680834.8991699</v>
      </c>
      <c r="AZ80" s="12">
        <v>2339015313.2951298</v>
      </c>
      <c r="BA80" s="12">
        <v>2489873249.62815</v>
      </c>
      <c r="BB80" s="12">
        <v>2296065170.0555201</v>
      </c>
      <c r="BC80" s="12">
        <v>2331796784.3600898</v>
      </c>
      <c r="BD80" s="12">
        <v>2505740669.27039</v>
      </c>
      <c r="BE80" s="12">
        <v>2427200388.9183102</v>
      </c>
      <c r="BF80" s="12">
        <v>2690110520.9254799</v>
      </c>
      <c r="BG80" s="12">
        <v>2914012679.2727699</v>
      </c>
      <c r="BH80" s="12">
        <v>2573905971.0545902</v>
      </c>
      <c r="BI80" s="12">
        <v>2813278868.7820802</v>
      </c>
      <c r="BJ80" s="12">
        <v>2980057377.8796701</v>
      </c>
      <c r="BK80" s="12">
        <v>3188600927.4668798</v>
      </c>
      <c r="BL80" s="12">
        <v>3266432734.2281899</v>
      </c>
      <c r="BM80" s="12">
        <v>3262045883.37293</v>
      </c>
      <c r="BN80" s="12">
        <v>3655063937.9314499</v>
      </c>
      <c r="BO80" s="12">
        <v>3555929833.0505099</v>
      </c>
    </row>
    <row r="81" spans="1:67" x14ac:dyDescent="0.2">
      <c r="A81" s="12" t="s">
        <v>347</v>
      </c>
      <c r="B81" s="12" t="s">
        <v>346</v>
      </c>
      <c r="C81" s="12" t="s">
        <v>978</v>
      </c>
      <c r="D81" s="12" t="s">
        <v>979</v>
      </c>
      <c r="AB81" s="12">
        <v>106500000</v>
      </c>
      <c r="AE81" s="12">
        <v>112210000</v>
      </c>
      <c r="AF81" s="12">
        <v>116700000</v>
      </c>
      <c r="AG81" s="12">
        <v>124700000</v>
      </c>
      <c r="AH81" s="12">
        <v>135200000</v>
      </c>
      <c r="AI81" s="12">
        <v>147200000</v>
      </c>
      <c r="AJ81" s="12">
        <v>166200000</v>
      </c>
      <c r="AK81" s="12">
        <v>178100000</v>
      </c>
      <c r="AL81" s="12">
        <v>198400000</v>
      </c>
      <c r="AM81" s="12">
        <v>202500000</v>
      </c>
      <c r="AN81" s="12">
        <v>221575300</v>
      </c>
      <c r="AO81" s="12">
        <v>218534700</v>
      </c>
      <c r="AP81" s="12">
        <v>206626300</v>
      </c>
      <c r="AQ81" s="12">
        <v>218873100</v>
      </c>
      <c r="AR81" s="12">
        <v>220140500</v>
      </c>
      <c r="AS81" s="12">
        <v>233271800</v>
      </c>
      <c r="AT81" s="12">
        <v>240970900</v>
      </c>
      <c r="AU81" s="12">
        <v>242517200</v>
      </c>
      <c r="AV81" s="12">
        <v>245432900</v>
      </c>
      <c r="AW81" s="12">
        <v>240236000</v>
      </c>
      <c r="AX81" s="12">
        <v>250281900</v>
      </c>
      <c r="AY81" s="12">
        <v>253541900</v>
      </c>
      <c r="AZ81" s="12">
        <v>256787200</v>
      </c>
      <c r="BA81" s="12">
        <v>263145100</v>
      </c>
      <c r="BB81" s="12">
        <v>280284600</v>
      </c>
      <c r="BC81" s="12">
        <v>296944100</v>
      </c>
      <c r="BD81" s="12">
        <v>311301600</v>
      </c>
      <c r="BE81" s="12">
        <v>327248700</v>
      </c>
      <c r="BF81" s="12">
        <v>317214400</v>
      </c>
      <c r="BG81" s="12">
        <v>319271200</v>
      </c>
      <c r="BH81" s="12">
        <v>316489900</v>
      </c>
      <c r="BI81" s="12">
        <v>332265200</v>
      </c>
      <c r="BJ81" s="12">
        <v>366666800</v>
      </c>
      <c r="BK81" s="12">
        <v>401932300</v>
      </c>
      <c r="BL81" s="12">
        <v>416000000</v>
      </c>
      <c r="BM81" s="12">
        <v>408000000</v>
      </c>
      <c r="BN81" s="12">
        <v>406000000</v>
      </c>
      <c r="BO81" s="12">
        <v>424000000</v>
      </c>
    </row>
    <row r="82" spans="1:67" x14ac:dyDescent="0.2">
      <c r="A82" s="12" t="s">
        <v>253</v>
      </c>
      <c r="B82" s="12" t="s">
        <v>252</v>
      </c>
      <c r="C82" s="12" t="s">
        <v>978</v>
      </c>
      <c r="D82" s="12" t="s">
        <v>979</v>
      </c>
      <c r="E82" s="12">
        <v>141468977.79984599</v>
      </c>
      <c r="F82" s="12">
        <v>167637907.12278199</v>
      </c>
      <c r="G82" s="12">
        <v>182796536.26602501</v>
      </c>
      <c r="H82" s="12">
        <v>154480244.055222</v>
      </c>
      <c r="I82" s="12">
        <v>215679855.34209099</v>
      </c>
      <c r="J82" s="12">
        <v>226474285.77906299</v>
      </c>
      <c r="K82" s="12">
        <v>245849781.27323401</v>
      </c>
      <c r="L82" s="12">
        <v>271543680.048895</v>
      </c>
      <c r="M82" s="12">
        <v>294468564.24527198</v>
      </c>
      <c r="N82" s="12">
        <v>318124701.47877097</v>
      </c>
      <c r="O82" s="12">
        <v>323802475.51242501</v>
      </c>
      <c r="P82" s="12">
        <v>381687072.622379</v>
      </c>
      <c r="Q82" s="12">
        <v>430508358.51420403</v>
      </c>
      <c r="R82" s="12">
        <v>722780701.29585397</v>
      </c>
      <c r="S82" s="12">
        <v>1544216001.6605899</v>
      </c>
      <c r="T82" s="12">
        <v>2157592940.0423398</v>
      </c>
      <c r="U82" s="12">
        <v>3009409974.2685599</v>
      </c>
      <c r="V82" s="12">
        <v>2809349069.22118</v>
      </c>
      <c r="W82" s="12">
        <v>2389479271.6661601</v>
      </c>
      <c r="X82" s="12">
        <v>3030251120.09759</v>
      </c>
      <c r="Y82" s="12">
        <v>4279637942.25144</v>
      </c>
      <c r="Z82" s="12">
        <v>3862269120.5349698</v>
      </c>
      <c r="AA82" s="12">
        <v>3618007841.1350298</v>
      </c>
      <c r="AB82" s="12">
        <v>3391275731.5375099</v>
      </c>
      <c r="AC82" s="12">
        <v>3561451560.5078301</v>
      </c>
      <c r="AD82" s="12">
        <v>3339914757.2287202</v>
      </c>
      <c r="AE82" s="12">
        <v>3403638189.20049</v>
      </c>
      <c r="AF82" s="12">
        <v>3281797043.0499601</v>
      </c>
      <c r="AG82" s="12">
        <v>3834503376.0299201</v>
      </c>
      <c r="AH82" s="12">
        <v>4186411463.8597498</v>
      </c>
      <c r="AI82" s="12">
        <v>5952293764.8477697</v>
      </c>
      <c r="AJ82" s="12">
        <v>5402919784.5700397</v>
      </c>
      <c r="AK82" s="12">
        <v>5592390827.3985395</v>
      </c>
      <c r="AL82" s="12">
        <v>4378645081.0176897</v>
      </c>
      <c r="AM82" s="12">
        <v>4190819344.2225499</v>
      </c>
      <c r="AN82" s="12">
        <v>4958845648.04778</v>
      </c>
      <c r="AO82" s="12">
        <v>5694040002.8986301</v>
      </c>
      <c r="AP82" s="12">
        <v>5326817114.5358601</v>
      </c>
      <c r="AQ82" s="12">
        <v>4483417309.8301096</v>
      </c>
      <c r="AR82" s="12">
        <v>4662992036.2073002</v>
      </c>
      <c r="AS82" s="12">
        <v>5080483628.5301304</v>
      </c>
      <c r="AT82" s="12">
        <v>5023265413.2622995</v>
      </c>
      <c r="AU82" s="12">
        <v>5335451099.8822298</v>
      </c>
      <c r="AV82" s="12">
        <v>6511903365.4755402</v>
      </c>
      <c r="AW82" s="12">
        <v>7770219008.2129297</v>
      </c>
      <c r="AX82" s="12">
        <v>9582783990.8534508</v>
      </c>
      <c r="AY82" s="12">
        <v>10327598306.4575</v>
      </c>
      <c r="AZ82" s="12">
        <v>12455409587.337099</v>
      </c>
      <c r="BA82" s="12">
        <v>15571348344.3379</v>
      </c>
      <c r="BB82" s="12">
        <v>12113699068.251699</v>
      </c>
      <c r="BC82" s="12">
        <v>14372593020.2885</v>
      </c>
      <c r="BD82" s="12">
        <v>18210307743.5816</v>
      </c>
      <c r="BE82" s="12">
        <v>17170464016.059299</v>
      </c>
      <c r="BF82" s="12">
        <v>17595744798.339802</v>
      </c>
      <c r="BG82" s="12">
        <v>18203966895.8433</v>
      </c>
      <c r="BH82" s="12">
        <v>14383107762.6952</v>
      </c>
      <c r="BI82" s="12">
        <v>14023890265.366501</v>
      </c>
      <c r="BJ82" s="12">
        <v>14929487485.1623</v>
      </c>
      <c r="BK82" s="12">
        <v>16867326401.962601</v>
      </c>
      <c r="BL82" s="12">
        <v>16874405465.391001</v>
      </c>
      <c r="BM82" s="12">
        <v>15314577154.8076</v>
      </c>
      <c r="BN82" s="12">
        <v>20217946922.452801</v>
      </c>
      <c r="BO82" s="12">
        <v>21071739224.8918</v>
      </c>
    </row>
    <row r="83" spans="1:67" x14ac:dyDescent="0.2">
      <c r="A83" s="12" t="s">
        <v>109</v>
      </c>
      <c r="B83" s="12" t="s">
        <v>108</v>
      </c>
      <c r="C83" s="12" t="s">
        <v>978</v>
      </c>
      <c r="D83" s="12" t="s">
        <v>979</v>
      </c>
      <c r="E83" s="12">
        <v>73233967692.102798</v>
      </c>
      <c r="F83" s="12">
        <v>77741965703.354401</v>
      </c>
      <c r="G83" s="12">
        <v>81247564156.8246</v>
      </c>
      <c r="H83" s="12">
        <v>86561961812.324905</v>
      </c>
      <c r="I83" s="12">
        <v>94407558351.161606</v>
      </c>
      <c r="J83" s="12">
        <v>101824755078.991</v>
      </c>
      <c r="K83" s="12">
        <v>108572752102.045</v>
      </c>
      <c r="L83" s="12">
        <v>113116888210.787</v>
      </c>
      <c r="M83" s="12">
        <v>107759910067.88901</v>
      </c>
      <c r="N83" s="12">
        <v>116464702803.218</v>
      </c>
      <c r="O83" s="12">
        <v>130671946244.3</v>
      </c>
      <c r="P83" s="12">
        <v>148113896325.14001</v>
      </c>
      <c r="Q83" s="12">
        <v>169965034965.035</v>
      </c>
      <c r="R83" s="12">
        <v>192537971582.55801</v>
      </c>
      <c r="S83" s="12">
        <v>206131369798.97101</v>
      </c>
      <c r="T83" s="12">
        <v>241756637168.142</v>
      </c>
      <c r="U83" s="12">
        <v>232614555256.065</v>
      </c>
      <c r="V83" s="12">
        <v>263066457352.172</v>
      </c>
      <c r="W83" s="12">
        <v>335883029721.95599</v>
      </c>
      <c r="X83" s="12">
        <v>438994070309.19098</v>
      </c>
      <c r="Y83" s="12">
        <v>564947710899.37305</v>
      </c>
      <c r="Z83" s="12">
        <v>540765675241.15802</v>
      </c>
      <c r="AA83" s="12">
        <v>515048916841.37</v>
      </c>
      <c r="AB83" s="12">
        <v>489618008185.539</v>
      </c>
      <c r="AC83" s="12">
        <v>461487097632.349</v>
      </c>
      <c r="AD83" s="12">
        <v>489285164271.047</v>
      </c>
      <c r="AE83" s="12">
        <v>601452653180.88501</v>
      </c>
      <c r="AF83" s="12">
        <v>745162608269.32495</v>
      </c>
      <c r="AG83" s="12">
        <v>910122732123.79895</v>
      </c>
      <c r="AH83" s="12">
        <v>926884816753.927</v>
      </c>
      <c r="AI83" s="12">
        <v>1093169389204.55</v>
      </c>
      <c r="AJ83" s="12">
        <v>1142797178130.51</v>
      </c>
      <c r="AK83" s="12">
        <v>1179659529659.53</v>
      </c>
      <c r="AL83" s="12">
        <v>1061388722255.55</v>
      </c>
      <c r="AM83" s="12">
        <v>1140489745944.29</v>
      </c>
      <c r="AN83" s="12">
        <v>1344240176739.78</v>
      </c>
      <c r="AO83" s="12">
        <v>1419645865834.6299</v>
      </c>
      <c r="AP83" s="12">
        <v>1560911918795.02</v>
      </c>
      <c r="AQ83" s="12">
        <v>1653694932096.72</v>
      </c>
      <c r="AR83" s="12">
        <v>1687830448147.55</v>
      </c>
      <c r="AS83" s="12">
        <v>1665534876683.3101</v>
      </c>
      <c r="AT83" s="12">
        <v>1649827263567.01</v>
      </c>
      <c r="AU83" s="12">
        <v>1785729916067.1499</v>
      </c>
      <c r="AV83" s="12">
        <v>2054422857142.8601</v>
      </c>
      <c r="AW83" s="12">
        <v>2421525082387.3999</v>
      </c>
      <c r="AX83" s="12">
        <v>2543180000000</v>
      </c>
      <c r="AY83" s="12">
        <v>2708441582336.71</v>
      </c>
      <c r="AZ83" s="12">
        <v>3090510204081.6299</v>
      </c>
      <c r="BA83" s="12">
        <v>2929411764705.8799</v>
      </c>
      <c r="BB83" s="12">
        <v>2412840006231.5</v>
      </c>
      <c r="BC83" s="12">
        <v>2485482596184.71</v>
      </c>
      <c r="BD83" s="12">
        <v>2663805834828.0698</v>
      </c>
      <c r="BE83" s="12">
        <v>2707089726614.6401</v>
      </c>
      <c r="BF83" s="12">
        <v>2784853502534.29</v>
      </c>
      <c r="BG83" s="12">
        <v>3064708247921.4302</v>
      </c>
      <c r="BH83" s="12">
        <v>2927911140916.73</v>
      </c>
      <c r="BI83" s="12">
        <v>2689106566899.6099</v>
      </c>
      <c r="BJ83" s="12">
        <v>2680148052335.2998</v>
      </c>
      <c r="BK83" s="12">
        <v>2871340347581.79</v>
      </c>
      <c r="BL83" s="12">
        <v>2851407164907.8101</v>
      </c>
      <c r="BM83" s="12">
        <v>2697806592293.8599</v>
      </c>
      <c r="BN83" s="12">
        <v>3141506156618.7002</v>
      </c>
      <c r="BO83" s="12">
        <v>3089072722400.1401</v>
      </c>
    </row>
    <row r="84" spans="1:67" x14ac:dyDescent="0.2">
      <c r="A84" s="12" t="s">
        <v>83</v>
      </c>
      <c r="B84" s="12" t="s">
        <v>82</v>
      </c>
      <c r="C84" s="12" t="s">
        <v>978</v>
      </c>
      <c r="D84" s="12" t="s">
        <v>979</v>
      </c>
      <c r="AI84" s="12">
        <v>7500000000</v>
      </c>
      <c r="AJ84" s="12">
        <v>6400000000</v>
      </c>
      <c r="AK84" s="12">
        <v>3730000000</v>
      </c>
      <c r="AL84" s="12">
        <v>2701301482.7018099</v>
      </c>
      <c r="AM84" s="12">
        <v>2514070771.8027301</v>
      </c>
      <c r="AN84" s="12">
        <v>2693768412.8917899</v>
      </c>
      <c r="AO84" s="12">
        <v>3095047603.8083</v>
      </c>
      <c r="AP84" s="12">
        <v>3510520231.21387</v>
      </c>
      <c r="AQ84" s="12">
        <v>3613497316.5531902</v>
      </c>
      <c r="AR84" s="12">
        <v>2800025882.7167201</v>
      </c>
      <c r="AS84" s="12">
        <v>3057475335.1884599</v>
      </c>
      <c r="AT84" s="12">
        <v>3219462262.0075002</v>
      </c>
      <c r="AU84" s="12">
        <v>3395766677.6731501</v>
      </c>
      <c r="AV84" s="12">
        <v>3991377904.1316199</v>
      </c>
      <c r="AW84" s="12">
        <v>5125365191.98664</v>
      </c>
      <c r="AX84" s="12">
        <v>6410912049.8710499</v>
      </c>
      <c r="AY84" s="12">
        <v>7745250733.9506702</v>
      </c>
      <c r="AZ84" s="12">
        <v>10172931088.5655</v>
      </c>
      <c r="BA84" s="12">
        <v>12795145130.910299</v>
      </c>
      <c r="BB84" s="12">
        <v>10766920065.8251</v>
      </c>
      <c r="BC84" s="12">
        <v>12243217070.5734</v>
      </c>
      <c r="BD84" s="12">
        <v>15107486236.2474</v>
      </c>
      <c r="BE84" s="12">
        <v>16488822461.4203</v>
      </c>
      <c r="BF84" s="12">
        <v>17190068235.7892</v>
      </c>
      <c r="BG84" s="12">
        <v>17627332900.258099</v>
      </c>
      <c r="BH84" s="12">
        <v>14953673796.1929</v>
      </c>
      <c r="BI84" s="12">
        <v>15141598622.569201</v>
      </c>
      <c r="BJ84" s="12">
        <v>16242645072.288099</v>
      </c>
      <c r="BK84" s="12">
        <v>17596922469.915199</v>
      </c>
      <c r="BL84" s="12">
        <v>17470436258.5131</v>
      </c>
      <c r="BM84" s="12">
        <v>15842922532.7202</v>
      </c>
      <c r="BN84" s="12">
        <v>18629365612.096001</v>
      </c>
      <c r="BO84" s="12">
        <v>24780791063.7131</v>
      </c>
    </row>
    <row r="85" spans="1:67" x14ac:dyDescent="0.2">
      <c r="A85" s="12" t="s">
        <v>45</v>
      </c>
      <c r="B85" s="12" t="s">
        <v>44</v>
      </c>
      <c r="C85" s="12" t="s">
        <v>978</v>
      </c>
      <c r="D85" s="12" t="s">
        <v>979</v>
      </c>
      <c r="E85" s="12">
        <v>1223943661.9718299</v>
      </c>
      <c r="F85" s="12">
        <v>1309859154.92958</v>
      </c>
      <c r="G85" s="12">
        <v>1390140845.07042</v>
      </c>
      <c r="H85" s="12">
        <v>1549295774.6478901</v>
      </c>
      <c r="I85" s="12">
        <v>1740845070.4225399</v>
      </c>
      <c r="J85" s="12">
        <v>2064788732.3943701</v>
      </c>
      <c r="K85" s="12">
        <v>2138028169.01408</v>
      </c>
      <c r="L85" s="12">
        <v>1748837209.30233</v>
      </c>
      <c r="M85" s="12">
        <v>1666666666.6666701</v>
      </c>
      <c r="N85" s="12">
        <v>1961764705.88235</v>
      </c>
      <c r="O85" s="12">
        <v>2214705882.3529401</v>
      </c>
      <c r="P85" s="12">
        <v>2427184466.0194201</v>
      </c>
      <c r="Q85" s="12">
        <v>2116541353.38346</v>
      </c>
      <c r="R85" s="12">
        <v>3018103448.2758598</v>
      </c>
      <c r="S85" s="12">
        <v>2894409937.8881998</v>
      </c>
      <c r="T85" s="12">
        <v>2810106382.9787202</v>
      </c>
      <c r="U85" s="12">
        <v>2765254237.2881398</v>
      </c>
      <c r="V85" s="12">
        <v>3189428571.4285698</v>
      </c>
      <c r="W85" s="12">
        <v>3662478184.9912701</v>
      </c>
      <c r="X85" s="12">
        <v>4020227920.2279201</v>
      </c>
      <c r="Y85" s="12">
        <v>4445228215.7676296</v>
      </c>
      <c r="Z85" s="12">
        <v>4222441860.4651198</v>
      </c>
      <c r="AA85" s="12">
        <v>4035994397.7591</v>
      </c>
      <c r="AB85" s="12">
        <v>4057275132.2751298</v>
      </c>
      <c r="AC85" s="12">
        <v>4412279843.4442301</v>
      </c>
      <c r="AD85" s="12">
        <v>4504306722.6890802</v>
      </c>
      <c r="AE85" s="12">
        <v>5735677433.8268299</v>
      </c>
      <c r="AF85" s="12">
        <v>5074829931.9727898</v>
      </c>
      <c r="AG85" s="12">
        <v>5197765031.6455698</v>
      </c>
      <c r="AH85" s="12">
        <v>5251858439.8739996</v>
      </c>
      <c r="AI85" s="12">
        <v>5889106573.4608803</v>
      </c>
      <c r="AJ85" s="12">
        <v>6603185267.7964296</v>
      </c>
      <c r="AK85" s="12">
        <v>6416103925.8326702</v>
      </c>
      <c r="AL85" s="12">
        <v>5968922939.3719797</v>
      </c>
      <c r="AM85" s="12">
        <v>5446383726.7704697</v>
      </c>
      <c r="AN85" s="12">
        <v>6464382807.6788397</v>
      </c>
      <c r="AO85" s="12">
        <v>6932991739.3776703</v>
      </c>
      <c r="AP85" s="12">
        <v>6891443192.2498503</v>
      </c>
      <c r="AQ85" s="12">
        <v>7482069162.4200802</v>
      </c>
      <c r="AR85" s="12">
        <v>7718109982.2609301</v>
      </c>
      <c r="AS85" s="12">
        <v>4982850662.2085104</v>
      </c>
      <c r="AT85" s="12">
        <v>5314872854.4405003</v>
      </c>
      <c r="AU85" s="12">
        <v>6166197847.8503103</v>
      </c>
      <c r="AV85" s="12">
        <v>7632723555.6622105</v>
      </c>
      <c r="AW85" s="12">
        <v>8881417906.7143192</v>
      </c>
      <c r="AX85" s="12">
        <v>10744568381.445601</v>
      </c>
      <c r="AY85" s="12">
        <v>20885037596.696301</v>
      </c>
      <c r="AZ85" s="12">
        <v>24827339138.490601</v>
      </c>
      <c r="BA85" s="12">
        <v>28679383241.072899</v>
      </c>
      <c r="BB85" s="12">
        <v>26048720005.5233</v>
      </c>
      <c r="BC85" s="12">
        <v>32197655566.534698</v>
      </c>
      <c r="BD85" s="12">
        <v>39336668080.558998</v>
      </c>
      <c r="BE85" s="12">
        <v>41271701060.954002</v>
      </c>
      <c r="BF85" s="12">
        <v>62824629066.040802</v>
      </c>
      <c r="BG85" s="12">
        <v>54783320576.888199</v>
      </c>
      <c r="BH85" s="12">
        <v>49406009811.981903</v>
      </c>
      <c r="BI85" s="12">
        <v>56164928691.035896</v>
      </c>
      <c r="BJ85" s="12">
        <v>60405920071.565201</v>
      </c>
      <c r="BK85" s="12">
        <v>67298913752.024101</v>
      </c>
      <c r="BL85" s="12">
        <v>68337974418.331497</v>
      </c>
      <c r="BM85" s="12">
        <v>70043095503.667496</v>
      </c>
      <c r="BN85" s="12">
        <v>79524421861.274307</v>
      </c>
      <c r="BO85" s="12">
        <v>73766052451.525604</v>
      </c>
    </row>
    <row r="86" spans="1:67" x14ac:dyDescent="0.2">
      <c r="A86" s="12" t="s">
        <v>923</v>
      </c>
      <c r="B86" s="12" t="s">
        <v>1014</v>
      </c>
      <c r="C86" s="12" t="s">
        <v>978</v>
      </c>
      <c r="D86" s="12" t="s">
        <v>979</v>
      </c>
    </row>
    <row r="87" spans="1:67" x14ac:dyDescent="0.2">
      <c r="A87" s="12" t="s">
        <v>295</v>
      </c>
      <c r="B87" s="12" t="s">
        <v>294</v>
      </c>
      <c r="C87" s="12" t="s">
        <v>978</v>
      </c>
      <c r="D87" s="12" t="s">
        <v>979</v>
      </c>
      <c r="AE87" s="12">
        <v>1995186720.74733</v>
      </c>
      <c r="AF87" s="12">
        <v>2041538039.57727</v>
      </c>
      <c r="AG87" s="12">
        <v>2384295816.5275502</v>
      </c>
      <c r="AH87" s="12">
        <v>2432029298.1764302</v>
      </c>
      <c r="AI87" s="12">
        <v>2666750819.1533699</v>
      </c>
      <c r="AJ87" s="12">
        <v>3015058206.9171801</v>
      </c>
      <c r="AK87" s="12">
        <v>3284620423.0609498</v>
      </c>
      <c r="AL87" s="12">
        <v>3279096492.9626398</v>
      </c>
      <c r="AM87" s="12">
        <v>3383092768.6981802</v>
      </c>
      <c r="AN87" s="12">
        <v>3693710532.9119101</v>
      </c>
      <c r="AO87" s="12">
        <v>3868968367.4278498</v>
      </c>
      <c r="AP87" s="12">
        <v>3783700461.64359</v>
      </c>
      <c r="AQ87" s="12">
        <v>3588375621.8256798</v>
      </c>
      <c r="AR87" s="12">
        <v>3461282460.7975202</v>
      </c>
      <c r="AS87" s="12">
        <v>2995361111.4822402</v>
      </c>
      <c r="AT87" s="12">
        <v>2829435908.6465702</v>
      </c>
      <c r="AU87" s="12">
        <v>2950198723.6085801</v>
      </c>
      <c r="AV87" s="12">
        <v>3446441784.8225198</v>
      </c>
      <c r="AW87" s="12">
        <v>3635458213.6596198</v>
      </c>
      <c r="AX87" s="12">
        <v>2937071740.6875601</v>
      </c>
      <c r="AY87" s="12">
        <v>4220019242.7288198</v>
      </c>
      <c r="AZ87" s="12">
        <v>6281917649.9403296</v>
      </c>
      <c r="BA87" s="12">
        <v>6964179187.8557901</v>
      </c>
      <c r="BB87" s="12">
        <v>6716904516.9795303</v>
      </c>
      <c r="BC87" s="12">
        <v>6853467832.4940701</v>
      </c>
      <c r="BD87" s="12">
        <v>6785137215.5573597</v>
      </c>
      <c r="BE87" s="12">
        <v>7638045226.0441599</v>
      </c>
      <c r="BF87" s="12">
        <v>8376613880.8493204</v>
      </c>
      <c r="BG87" s="12">
        <v>8778473643.3185196</v>
      </c>
      <c r="BH87" s="12">
        <v>8794202394.29076</v>
      </c>
      <c r="BI87" s="12">
        <v>8595955600.3660107</v>
      </c>
      <c r="BJ87" s="12">
        <v>10324668271.103201</v>
      </c>
      <c r="BK87" s="12">
        <v>11857030367.244101</v>
      </c>
      <c r="BL87" s="12">
        <v>13442861496.4128</v>
      </c>
      <c r="BM87" s="12">
        <v>14177835841.3923</v>
      </c>
      <c r="BN87" s="12">
        <v>16091817842.1318</v>
      </c>
      <c r="BO87" s="12">
        <v>20999229260.495499</v>
      </c>
    </row>
    <row r="88" spans="1:67" x14ac:dyDescent="0.2">
      <c r="A88" s="12" t="s">
        <v>275</v>
      </c>
      <c r="B88" s="12" t="s">
        <v>274</v>
      </c>
      <c r="C88" s="12" t="s">
        <v>978</v>
      </c>
      <c r="D88" s="12" t="s">
        <v>979</v>
      </c>
      <c r="K88" s="12">
        <v>44212081.350229703</v>
      </c>
      <c r="L88" s="12">
        <v>46695006.957937397</v>
      </c>
      <c r="M88" s="12">
        <v>41160065.856105402</v>
      </c>
      <c r="N88" s="12">
        <v>45168072.268915601</v>
      </c>
      <c r="O88" s="12">
        <v>52296083.673733898</v>
      </c>
      <c r="P88" s="12">
        <v>55728663.222684003</v>
      </c>
      <c r="Q88" s="12">
        <v>59160569.480441302</v>
      </c>
      <c r="R88" s="12">
        <v>75187749.096131697</v>
      </c>
      <c r="S88" s="12">
        <v>95796021.688827202</v>
      </c>
      <c r="T88" s="12">
        <v>115179719.07763299</v>
      </c>
      <c r="U88" s="12">
        <v>112190829.470457</v>
      </c>
      <c r="V88" s="12">
        <v>138093099.09773999</v>
      </c>
      <c r="W88" s="12">
        <v>171833086.01962399</v>
      </c>
      <c r="X88" s="12">
        <v>207112627.72609401</v>
      </c>
      <c r="Y88" s="12">
        <v>241083090.30362299</v>
      </c>
      <c r="Z88" s="12">
        <v>218767743.45910099</v>
      </c>
      <c r="AA88" s="12">
        <v>216050552.30158401</v>
      </c>
      <c r="AB88" s="12">
        <v>213448584.93694499</v>
      </c>
      <c r="AC88" s="12">
        <v>177340880.08620399</v>
      </c>
      <c r="AD88" s="12">
        <v>225726358.89091399</v>
      </c>
      <c r="AE88" s="12">
        <v>185646986.824927</v>
      </c>
      <c r="AF88" s="12">
        <v>220626484.22481099</v>
      </c>
      <c r="AG88" s="12">
        <v>266672211.93416101</v>
      </c>
      <c r="AH88" s="12">
        <v>284120329.40102297</v>
      </c>
      <c r="AI88" s="12">
        <v>317083695.47779697</v>
      </c>
      <c r="AJ88" s="12">
        <v>690311080.51501799</v>
      </c>
      <c r="AK88" s="12">
        <v>714254256.12218904</v>
      </c>
      <c r="AL88" s="12">
        <v>755040974.087322</v>
      </c>
      <c r="AM88" s="12">
        <v>746493951.90095901</v>
      </c>
      <c r="AN88" s="12">
        <v>785999864.84029901</v>
      </c>
      <c r="AO88" s="12">
        <v>848239446.21575999</v>
      </c>
      <c r="AP88" s="12">
        <v>803633342.47370601</v>
      </c>
      <c r="AQ88" s="12">
        <v>840285264.63154495</v>
      </c>
      <c r="AR88" s="12">
        <v>814724032.06573498</v>
      </c>
      <c r="AS88" s="12">
        <v>782913871.80965996</v>
      </c>
      <c r="AT88" s="12">
        <v>687410645.06394303</v>
      </c>
      <c r="AU88" s="12">
        <v>578235309.32719803</v>
      </c>
      <c r="AV88" s="12">
        <v>487038685.04549599</v>
      </c>
      <c r="AW88" s="12">
        <v>961900651.42344105</v>
      </c>
      <c r="AX88" s="12">
        <v>1027701067.55688</v>
      </c>
      <c r="AY88" s="12">
        <v>1054112487.7408299</v>
      </c>
      <c r="AZ88" s="12">
        <v>1279703047.0221</v>
      </c>
      <c r="BA88" s="12">
        <v>1561766955.7302401</v>
      </c>
      <c r="BB88" s="12">
        <v>1450142508.5780799</v>
      </c>
      <c r="BC88" s="12">
        <v>1543294926.8730099</v>
      </c>
      <c r="BD88" s="12">
        <v>1409693596.93594</v>
      </c>
      <c r="BE88" s="12">
        <v>1415004738.2662101</v>
      </c>
      <c r="BF88" s="12">
        <v>1375609453.4374599</v>
      </c>
      <c r="BG88" s="12">
        <v>1229461721.4086101</v>
      </c>
      <c r="BH88" s="12">
        <v>1378176608.93204</v>
      </c>
      <c r="BI88" s="12">
        <v>1484578885.9713199</v>
      </c>
      <c r="BJ88" s="12">
        <v>1504909462.69521</v>
      </c>
      <c r="BK88" s="12">
        <v>1670671327.81651</v>
      </c>
      <c r="BL88" s="12">
        <v>1813609692.4999399</v>
      </c>
      <c r="BM88" s="12">
        <v>1812170891.19069</v>
      </c>
      <c r="BN88" s="12">
        <v>2038414968.6068299</v>
      </c>
      <c r="BO88" s="12">
        <v>2187194563.4860501</v>
      </c>
    </row>
    <row r="89" spans="1:67" x14ac:dyDescent="0.2">
      <c r="A89" s="12" t="s">
        <v>349</v>
      </c>
      <c r="B89" s="12" t="s">
        <v>348</v>
      </c>
      <c r="C89" s="12" t="s">
        <v>978</v>
      </c>
      <c r="D89" s="12" t="s">
        <v>979</v>
      </c>
      <c r="O89" s="12">
        <v>78733594.841185197</v>
      </c>
      <c r="P89" s="12">
        <v>78540057.1372471</v>
      </c>
      <c r="Q89" s="12">
        <v>87702828.565164104</v>
      </c>
      <c r="R89" s="12">
        <v>89374237.288135603</v>
      </c>
      <c r="S89" s="12">
        <v>98775328.947368398</v>
      </c>
      <c r="T89" s="12">
        <v>108985740.155434</v>
      </c>
      <c r="U89" s="12">
        <v>112386489.005677</v>
      </c>
      <c r="V89" s="12">
        <v>114971207.205384</v>
      </c>
      <c r="W89" s="12">
        <v>122666858.789625</v>
      </c>
      <c r="X89" s="12">
        <v>118537875.133044</v>
      </c>
      <c r="Y89" s="12">
        <v>110653830.72270399</v>
      </c>
      <c r="Z89" s="12">
        <v>154731969.69696999</v>
      </c>
      <c r="AA89" s="12">
        <v>165523634.50371799</v>
      </c>
      <c r="AB89" s="12">
        <v>163577538.326314</v>
      </c>
      <c r="AC89" s="12">
        <v>138478900.628609</v>
      </c>
      <c r="AD89" s="12">
        <v>143856253.12724799</v>
      </c>
      <c r="AE89" s="12">
        <v>130225018.751151</v>
      </c>
      <c r="AF89" s="12">
        <v>173836362.01067701</v>
      </c>
      <c r="AG89" s="12">
        <v>164458120.31802899</v>
      </c>
      <c r="AH89" s="12">
        <v>213143016.44637799</v>
      </c>
      <c r="AI89" s="12">
        <v>243961995.512687</v>
      </c>
      <c r="AJ89" s="12">
        <v>257150374.069711</v>
      </c>
      <c r="AK89" s="12">
        <v>226313443.74908599</v>
      </c>
      <c r="AL89" s="12">
        <v>236880821.65638801</v>
      </c>
      <c r="AM89" s="12">
        <v>235620043.500927</v>
      </c>
      <c r="AN89" s="12">
        <v>253966922.278198</v>
      </c>
      <c r="AO89" s="12">
        <v>270419779.41810697</v>
      </c>
      <c r="AP89" s="12">
        <v>268551010.94118601</v>
      </c>
      <c r="AQ89" s="12">
        <v>206457553.39710101</v>
      </c>
      <c r="AR89" s="12">
        <v>224446663.80054799</v>
      </c>
      <c r="AS89" s="12">
        <v>371095522.04996902</v>
      </c>
      <c r="AT89" s="12">
        <v>392621389.507734</v>
      </c>
      <c r="AU89" s="12">
        <v>417806651.11767203</v>
      </c>
      <c r="AV89" s="12">
        <v>477458577.16366601</v>
      </c>
      <c r="AW89" s="12">
        <v>532062894.803123</v>
      </c>
      <c r="AX89" s="12">
        <v>587029096.02869594</v>
      </c>
      <c r="AY89" s="12">
        <v>592365659.818537</v>
      </c>
      <c r="AZ89" s="12">
        <v>696910784.011006</v>
      </c>
      <c r="BA89" s="12">
        <v>868154627.87523305</v>
      </c>
      <c r="BB89" s="12">
        <v>830126428.78860104</v>
      </c>
      <c r="BC89" s="12">
        <v>849878489.11842597</v>
      </c>
      <c r="BD89" s="12">
        <v>1099818591.9547901</v>
      </c>
      <c r="BE89" s="12">
        <v>989271155.13514197</v>
      </c>
      <c r="BF89" s="12">
        <v>1046087367.45447</v>
      </c>
      <c r="BG89" s="12">
        <v>1054915581.35773</v>
      </c>
      <c r="BH89" s="12">
        <v>1048229633.0018899</v>
      </c>
      <c r="BI89" s="12">
        <v>1179004911.2667601</v>
      </c>
      <c r="BJ89" s="12">
        <v>1350177012.2427299</v>
      </c>
      <c r="BK89" s="12">
        <v>1504630233.6815801</v>
      </c>
      <c r="BL89" s="12">
        <v>1439638410.99683</v>
      </c>
      <c r="BM89" s="12">
        <v>1431758231.68522</v>
      </c>
      <c r="BN89" s="12">
        <v>1638517606.8949599</v>
      </c>
      <c r="BO89" s="12">
        <v>1633559092.0886099</v>
      </c>
    </row>
    <row r="90" spans="1:67" x14ac:dyDescent="0.2">
      <c r="A90" s="12" t="s">
        <v>351</v>
      </c>
      <c r="B90" s="12" t="s">
        <v>350</v>
      </c>
      <c r="C90" s="12" t="s">
        <v>978</v>
      </c>
      <c r="D90" s="12" t="s">
        <v>979</v>
      </c>
      <c r="G90" s="12">
        <v>9122751.4531834498</v>
      </c>
      <c r="H90" s="12">
        <v>10840095.1283649</v>
      </c>
      <c r="I90" s="12">
        <v>12712471.3960211</v>
      </c>
      <c r="J90" s="12">
        <v>64748333.333333299</v>
      </c>
      <c r="K90" s="12">
        <v>69110000</v>
      </c>
      <c r="L90" s="12">
        <v>72317446.932719305</v>
      </c>
      <c r="M90" s="12">
        <v>67514285.714285702</v>
      </c>
      <c r="N90" s="12">
        <v>67225714.285714298</v>
      </c>
      <c r="O90" s="12">
        <v>66331428.571428597</v>
      </c>
      <c r="P90" s="12">
        <v>64946954.756797999</v>
      </c>
      <c r="Q90" s="12">
        <v>65429198.238707997</v>
      </c>
      <c r="R90" s="12">
        <v>81203226.913834497</v>
      </c>
      <c r="S90" s="12">
        <v>94159862.707369104</v>
      </c>
      <c r="T90" s="12">
        <v>104295643.388437</v>
      </c>
      <c r="U90" s="12">
        <v>103653049.93797</v>
      </c>
      <c r="V90" s="12">
        <v>103987520.075827</v>
      </c>
      <c r="Y90" s="12">
        <v>50642880.773750298</v>
      </c>
      <c r="Z90" s="12">
        <v>36731422.845691398</v>
      </c>
      <c r="AA90" s="12">
        <v>44294647.733479001</v>
      </c>
      <c r="AB90" s="12">
        <v>44442456.947640002</v>
      </c>
      <c r="AC90" s="12">
        <v>50320914.406568803</v>
      </c>
      <c r="AD90" s="12">
        <v>62118569.965448096</v>
      </c>
      <c r="AE90" s="12">
        <v>76407395.872754201</v>
      </c>
      <c r="AF90" s="12">
        <v>93345859.529730007</v>
      </c>
      <c r="AG90" s="12">
        <v>100534656.881732</v>
      </c>
      <c r="AH90" s="12">
        <v>88265974.861048996</v>
      </c>
      <c r="AI90" s="12">
        <v>112119411.48996501</v>
      </c>
      <c r="AJ90" s="12">
        <v>110906028.536862</v>
      </c>
      <c r="AK90" s="12">
        <v>134707183.84661999</v>
      </c>
      <c r="AL90" s="12">
        <v>136047906.245408</v>
      </c>
      <c r="AM90" s="12">
        <v>100807002.540195</v>
      </c>
      <c r="AN90" s="12">
        <v>141853360.86785501</v>
      </c>
      <c r="AO90" s="12">
        <v>232463022.80296099</v>
      </c>
      <c r="AP90" s="12">
        <v>442337870.69436997</v>
      </c>
      <c r="AQ90" s="12">
        <v>370687634.42571199</v>
      </c>
      <c r="AR90" s="12">
        <v>621117885.66850305</v>
      </c>
      <c r="AS90" s="12">
        <v>1045998496.43872</v>
      </c>
      <c r="AT90" s="12">
        <v>1461139022.0295401</v>
      </c>
      <c r="AU90" s="12">
        <v>1806742742.2731099</v>
      </c>
      <c r="AV90" s="12">
        <v>2484745935.0932899</v>
      </c>
      <c r="AW90" s="12">
        <v>4410764338.6673298</v>
      </c>
      <c r="AX90" s="12">
        <v>8217369092.6522398</v>
      </c>
      <c r="AY90" s="12">
        <v>10086528698.860399</v>
      </c>
      <c r="AZ90" s="12">
        <v>13071718758.737301</v>
      </c>
      <c r="BA90" s="12">
        <v>19749893536.3204</v>
      </c>
      <c r="BB90" s="12">
        <v>15027795173.2187</v>
      </c>
      <c r="BC90" s="12">
        <v>16314443436.2903</v>
      </c>
      <c r="BD90" s="12">
        <v>21357343668.944698</v>
      </c>
      <c r="BE90" s="12">
        <v>22388344143.913101</v>
      </c>
      <c r="BF90" s="12">
        <v>21948834283.785599</v>
      </c>
      <c r="BG90" s="12">
        <v>21765453081.982601</v>
      </c>
      <c r="BH90" s="12">
        <v>13185496881.4055</v>
      </c>
      <c r="BI90" s="12">
        <v>11240808846.692801</v>
      </c>
      <c r="BJ90" s="12">
        <v>12200913887.641899</v>
      </c>
      <c r="BK90" s="12">
        <v>13097012124.2267</v>
      </c>
      <c r="BL90" s="12">
        <v>11364133546.2488</v>
      </c>
      <c r="BM90" s="12">
        <v>9893816016.1469994</v>
      </c>
      <c r="BN90" s="12">
        <v>12104994084.410801</v>
      </c>
      <c r="BO90" s="12">
        <v>12029633746.518999</v>
      </c>
    </row>
    <row r="91" spans="1:67" x14ac:dyDescent="0.2">
      <c r="A91" s="12" t="s">
        <v>35</v>
      </c>
      <c r="B91" s="12" t="s">
        <v>34</v>
      </c>
      <c r="C91" s="12" t="s">
        <v>978</v>
      </c>
      <c r="D91" s="12" t="s">
        <v>979</v>
      </c>
      <c r="E91" s="12">
        <v>4335186016.8394203</v>
      </c>
      <c r="F91" s="12">
        <v>4961400439.3172197</v>
      </c>
      <c r="G91" s="12">
        <v>5213047711.4270401</v>
      </c>
      <c r="H91" s="12">
        <v>5895278024.09202</v>
      </c>
      <c r="I91" s="12">
        <v>6669673257.1183004</v>
      </c>
      <c r="J91" s="12">
        <v>7689154053.3586597</v>
      </c>
      <c r="K91" s="12">
        <v>8591517943.6012897</v>
      </c>
      <c r="L91" s="12">
        <v>9275600800.3564396</v>
      </c>
      <c r="M91" s="12">
        <v>10090675902.5364</v>
      </c>
      <c r="N91" s="12">
        <v>11615657031.238701</v>
      </c>
      <c r="O91" s="12">
        <v>13139863636.3636</v>
      </c>
      <c r="P91" s="12">
        <v>14591750000</v>
      </c>
      <c r="Q91" s="12">
        <v>16885511363.6364</v>
      </c>
      <c r="R91" s="12">
        <v>22347848101.2658</v>
      </c>
      <c r="S91" s="12">
        <v>25351306818.181801</v>
      </c>
      <c r="T91" s="12">
        <v>28525876726.886299</v>
      </c>
      <c r="U91" s="12">
        <v>31152835820.8955</v>
      </c>
      <c r="V91" s="12">
        <v>36176234967.622597</v>
      </c>
      <c r="W91" s="12">
        <v>44270204081.632698</v>
      </c>
      <c r="X91" s="12">
        <v>54481876724.931</v>
      </c>
      <c r="Y91" s="12">
        <v>56829664268.585098</v>
      </c>
      <c r="Z91" s="12">
        <v>52346506765.067596</v>
      </c>
      <c r="AA91" s="12">
        <v>54617989795.918404</v>
      </c>
      <c r="AB91" s="12">
        <v>49428873839.0093</v>
      </c>
      <c r="AC91" s="12">
        <v>48020024183.796898</v>
      </c>
      <c r="AD91" s="12">
        <v>47820851221.317497</v>
      </c>
      <c r="AE91" s="12">
        <v>56379593476.144096</v>
      </c>
      <c r="AF91" s="12">
        <v>65652750377.453499</v>
      </c>
      <c r="AG91" s="12">
        <v>76261277924.573593</v>
      </c>
      <c r="AH91" s="12">
        <v>79169043222.8284</v>
      </c>
      <c r="AI91" s="12">
        <v>97891092003.439407</v>
      </c>
      <c r="AJ91" s="12">
        <v>105143232379.884</v>
      </c>
      <c r="AK91" s="12">
        <v>116224672863.783</v>
      </c>
      <c r="AL91" s="12">
        <v>108809059155.767</v>
      </c>
      <c r="AM91" s="12">
        <v>116601801966.29201</v>
      </c>
      <c r="AN91" s="12">
        <v>136878365936.16701</v>
      </c>
      <c r="AO91" s="12">
        <v>145861612400.90601</v>
      </c>
      <c r="AP91" s="12">
        <v>143157600149.75699</v>
      </c>
      <c r="AQ91" s="12">
        <v>144428172489.33499</v>
      </c>
      <c r="AR91" s="12">
        <v>142588875293.74899</v>
      </c>
      <c r="AS91" s="12">
        <v>130457756628.436</v>
      </c>
      <c r="AT91" s="12">
        <v>136309295225.34</v>
      </c>
      <c r="AU91" s="12">
        <v>154564203586.95401</v>
      </c>
      <c r="AV91" s="12">
        <v>202370140236.26501</v>
      </c>
      <c r="AW91" s="12">
        <v>240963562236.12701</v>
      </c>
      <c r="AX91" s="12">
        <v>247875422204.414</v>
      </c>
      <c r="AY91" s="12">
        <v>273546728473.073</v>
      </c>
      <c r="AZ91" s="12">
        <v>318902829550.73297</v>
      </c>
      <c r="BA91" s="12">
        <v>355908689477.44501</v>
      </c>
      <c r="BB91" s="12">
        <v>331308500253.27399</v>
      </c>
      <c r="BC91" s="12">
        <v>297124961971.50098</v>
      </c>
      <c r="BD91" s="12">
        <v>282995942006.55701</v>
      </c>
      <c r="BE91" s="12">
        <v>242029307133.40799</v>
      </c>
      <c r="BF91" s="12">
        <v>238907690051.13</v>
      </c>
      <c r="BG91" s="12">
        <v>235458133124.608</v>
      </c>
      <c r="BH91" s="12">
        <v>195683527003.375</v>
      </c>
      <c r="BI91" s="12">
        <v>193148146586.93301</v>
      </c>
      <c r="BJ91" s="12">
        <v>199844406013.53101</v>
      </c>
      <c r="BK91" s="12">
        <v>212049447242.11099</v>
      </c>
      <c r="BL91" s="12">
        <v>205252760889.36401</v>
      </c>
      <c r="BM91" s="12">
        <v>188480337285.60501</v>
      </c>
      <c r="BN91" s="12">
        <v>214667807441.202</v>
      </c>
      <c r="BO91" s="12">
        <v>217581324512.05899</v>
      </c>
    </row>
    <row r="92" spans="1:67" x14ac:dyDescent="0.2">
      <c r="A92" s="12" t="s">
        <v>353</v>
      </c>
      <c r="B92" s="12" t="s">
        <v>352</v>
      </c>
      <c r="C92" s="12" t="s">
        <v>978</v>
      </c>
      <c r="D92" s="12" t="s">
        <v>979</v>
      </c>
      <c r="V92" s="12">
        <v>71494495.185185194</v>
      </c>
      <c r="W92" s="12">
        <v>88322386.296296299</v>
      </c>
      <c r="X92" s="12">
        <v>102244362.222222</v>
      </c>
      <c r="Y92" s="12">
        <v>110900457.037037</v>
      </c>
      <c r="Z92" s="12">
        <v>115651918.888889</v>
      </c>
      <c r="AA92" s="12">
        <v>125435590</v>
      </c>
      <c r="AB92" s="12">
        <v>131803552.222222</v>
      </c>
      <c r="AC92" s="12">
        <v>145533310.74074101</v>
      </c>
      <c r="AD92" s="12">
        <v>167728455.18518499</v>
      </c>
      <c r="AE92" s="12">
        <v>187589522.59259301</v>
      </c>
      <c r="AF92" s="12">
        <v>215009569.62963</v>
      </c>
      <c r="AG92" s="12">
        <v>236357523.703704</v>
      </c>
      <c r="AH92" s="12">
        <v>267327642.222222</v>
      </c>
      <c r="AI92" s="12">
        <v>278098762.96296299</v>
      </c>
      <c r="AJ92" s="12">
        <v>300757888.88888901</v>
      </c>
      <c r="AK92" s="12">
        <v>310160444.444444</v>
      </c>
      <c r="AL92" s="12">
        <v>309812185.18518502</v>
      </c>
      <c r="AM92" s="12">
        <v>325111814.81481498</v>
      </c>
      <c r="AN92" s="12">
        <v>342172518.51851898</v>
      </c>
      <c r="AO92" s="12">
        <v>366911444.444444</v>
      </c>
      <c r="AP92" s="12">
        <v>392190592.59259301</v>
      </c>
      <c r="AQ92" s="12">
        <v>445903592.59259301</v>
      </c>
      <c r="AR92" s="12">
        <v>482009370.37036997</v>
      </c>
      <c r="AS92" s="12">
        <v>520044370.37036997</v>
      </c>
      <c r="AT92" s="12">
        <v>520444185.18518502</v>
      </c>
      <c r="AU92" s="12">
        <v>540336925.92592597</v>
      </c>
      <c r="AV92" s="12">
        <v>591018407.40740705</v>
      </c>
      <c r="AW92" s="12">
        <v>599118592.59259295</v>
      </c>
      <c r="AX92" s="12">
        <v>695555555.55555499</v>
      </c>
      <c r="AY92" s="12">
        <v>698700666.66666698</v>
      </c>
      <c r="AZ92" s="12">
        <v>758683592.59259295</v>
      </c>
      <c r="BA92" s="12">
        <v>825976037.03703701</v>
      </c>
      <c r="BB92" s="12">
        <v>771275555.55555499</v>
      </c>
      <c r="BC92" s="12">
        <v>771014814.81481504</v>
      </c>
      <c r="BD92" s="12">
        <v>778655555.55555499</v>
      </c>
      <c r="BE92" s="12">
        <v>799881481.48148096</v>
      </c>
      <c r="BF92" s="12">
        <v>842618518.51851797</v>
      </c>
      <c r="BG92" s="12">
        <v>911496296.296296</v>
      </c>
      <c r="BH92" s="12">
        <v>997007407.40740705</v>
      </c>
      <c r="BI92" s="12">
        <v>1061640740.7407399</v>
      </c>
      <c r="BJ92" s="12">
        <v>1125685185.18519</v>
      </c>
      <c r="BK92" s="12">
        <v>1166514814.81481</v>
      </c>
      <c r="BL92" s="12">
        <v>1213485185.18519</v>
      </c>
      <c r="BM92" s="12">
        <v>1043411111.11111</v>
      </c>
      <c r="BN92" s="12">
        <v>1122800000</v>
      </c>
      <c r="BO92" s="12">
        <v>1215379155.6728201</v>
      </c>
    </row>
    <row r="93" spans="1:67" x14ac:dyDescent="0.2">
      <c r="A93" s="12" t="s">
        <v>924</v>
      </c>
      <c r="B93" s="12" t="s">
        <v>1015</v>
      </c>
      <c r="C93" s="12" t="s">
        <v>978</v>
      </c>
      <c r="D93" s="12" t="s">
        <v>979</v>
      </c>
      <c r="O93" s="12">
        <v>69520026.666666701</v>
      </c>
      <c r="P93" s="12">
        <v>88466738.249726802</v>
      </c>
      <c r="Q93" s="12">
        <v>106101297.801272</v>
      </c>
      <c r="R93" s="12">
        <v>140153748.24365601</v>
      </c>
      <c r="S93" s="12">
        <v>169918948.62918201</v>
      </c>
      <c r="T93" s="12">
        <v>211190630.32960901</v>
      </c>
      <c r="U93" s="12">
        <v>240779417.78569999</v>
      </c>
      <c r="V93" s="12">
        <v>282269749.16011298</v>
      </c>
      <c r="W93" s="12">
        <v>355987433.41569</v>
      </c>
      <c r="X93" s="12">
        <v>420645821.540488</v>
      </c>
      <c r="Y93" s="12">
        <v>476051740.77376902</v>
      </c>
      <c r="Z93" s="12">
        <v>435748993.41842097</v>
      </c>
      <c r="AA93" s="12">
        <v>402403041.02926898</v>
      </c>
      <c r="AB93" s="12">
        <v>416184071.01941699</v>
      </c>
      <c r="AC93" s="12">
        <v>379371901.49037403</v>
      </c>
      <c r="AD93" s="12">
        <v>412876382.82917398</v>
      </c>
      <c r="AE93" s="12">
        <v>603016292.68697798</v>
      </c>
      <c r="AF93" s="12">
        <v>787390408.953269</v>
      </c>
      <c r="AG93" s="12">
        <v>898607670.62441301</v>
      </c>
      <c r="AH93" s="12">
        <v>929799902.19112396</v>
      </c>
      <c r="AI93" s="12">
        <v>1018977280.32928</v>
      </c>
      <c r="AJ93" s="12">
        <v>1016500069.25708</v>
      </c>
      <c r="AK93" s="12">
        <v>1037916162.54976</v>
      </c>
      <c r="AL93" s="12">
        <v>927214151.76793003</v>
      </c>
      <c r="AM93" s="12">
        <v>1005887539.32049</v>
      </c>
      <c r="AN93" s="12">
        <v>1208953287.06598</v>
      </c>
      <c r="AO93" s="12">
        <v>1197515569.08202</v>
      </c>
      <c r="AP93" s="12">
        <v>1072154433.8453799</v>
      </c>
      <c r="AQ93" s="12">
        <v>1149858069.7576599</v>
      </c>
      <c r="AR93" s="12">
        <v>1131555107.0490699</v>
      </c>
      <c r="AS93" s="12">
        <v>1068025016.00862</v>
      </c>
      <c r="AT93" s="12">
        <v>1086170703.9816</v>
      </c>
      <c r="AU93" s="12">
        <v>1169136716.0355699</v>
      </c>
      <c r="AV93" s="12">
        <v>1558759823.0816901</v>
      </c>
      <c r="AW93" s="12">
        <v>1822499769.2393799</v>
      </c>
      <c r="AX93" s="12">
        <v>1849802648.36391</v>
      </c>
      <c r="AY93" s="12">
        <v>2013106929.5003099</v>
      </c>
      <c r="AZ93" s="12">
        <v>2249811295.6608</v>
      </c>
      <c r="BA93" s="12">
        <v>2499092314.4187498</v>
      </c>
      <c r="BB93" s="12">
        <v>2529963903.22685</v>
      </c>
      <c r="BC93" s="12">
        <v>2503167187.4930501</v>
      </c>
      <c r="BD93" s="12">
        <v>2684461375.4658499</v>
      </c>
      <c r="BE93" s="12">
        <v>2609678486.3674898</v>
      </c>
      <c r="BF93" s="12">
        <v>2684946990.1244798</v>
      </c>
      <c r="BG93" s="12">
        <v>2842065708.3596201</v>
      </c>
      <c r="BH93" s="12">
        <v>2499113022.81675</v>
      </c>
      <c r="BI93" s="12">
        <v>2707139544.4669499</v>
      </c>
      <c r="BJ93" s="12">
        <v>2851613679.0343299</v>
      </c>
      <c r="BK93" s="12">
        <v>3055782146.1595702</v>
      </c>
      <c r="BL93" s="12">
        <v>2997309971.8762298</v>
      </c>
      <c r="BM93" s="12">
        <v>3082884653.2456002</v>
      </c>
      <c r="BN93" s="12">
        <v>3235809504.2987099</v>
      </c>
    </row>
    <row r="94" spans="1:67" x14ac:dyDescent="0.2">
      <c r="A94" s="12" t="s">
        <v>273</v>
      </c>
      <c r="B94" s="12" t="s">
        <v>272</v>
      </c>
      <c r="C94" s="12" t="s">
        <v>978</v>
      </c>
      <c r="D94" s="12" t="s">
        <v>979</v>
      </c>
      <c r="E94" s="12">
        <v>1043599900</v>
      </c>
      <c r="F94" s="12">
        <v>1076699900</v>
      </c>
      <c r="G94" s="12">
        <v>1143600000</v>
      </c>
      <c r="H94" s="12">
        <v>1262800000</v>
      </c>
      <c r="I94" s="12">
        <v>1299099900</v>
      </c>
      <c r="J94" s="12">
        <v>1331399900</v>
      </c>
      <c r="K94" s="12">
        <v>1390700000</v>
      </c>
      <c r="L94" s="12">
        <v>1453500000</v>
      </c>
      <c r="M94" s="12">
        <v>1610500000</v>
      </c>
      <c r="N94" s="12">
        <v>1715399900</v>
      </c>
      <c r="O94" s="12">
        <v>1904000000</v>
      </c>
      <c r="P94" s="12">
        <v>1984800000</v>
      </c>
      <c r="Q94" s="12">
        <v>2101300000</v>
      </c>
      <c r="R94" s="12">
        <v>2569200100</v>
      </c>
      <c r="S94" s="12">
        <v>3161499900</v>
      </c>
      <c r="T94" s="12">
        <v>3645900000</v>
      </c>
      <c r="U94" s="12">
        <v>4365300200</v>
      </c>
      <c r="V94" s="12">
        <v>5480500200</v>
      </c>
      <c r="W94" s="12">
        <v>6070600200</v>
      </c>
      <c r="X94" s="12">
        <v>6902600200</v>
      </c>
      <c r="Y94" s="12">
        <v>7878700000</v>
      </c>
      <c r="Z94" s="12">
        <v>8607500300</v>
      </c>
      <c r="AA94" s="12">
        <v>8716999700</v>
      </c>
      <c r="AB94" s="12">
        <v>9050000400</v>
      </c>
      <c r="AC94" s="12">
        <v>9470000100</v>
      </c>
      <c r="AD94" s="12">
        <v>9721652086.9565201</v>
      </c>
      <c r="AE94" s="12">
        <v>7231963515.98174</v>
      </c>
      <c r="AF94" s="12">
        <v>7084399840</v>
      </c>
      <c r="AG94" s="12">
        <v>7841602824.4274797</v>
      </c>
      <c r="AH94" s="12">
        <v>8410724360.7954502</v>
      </c>
      <c r="AI94" s="12">
        <v>7650196845.2154598</v>
      </c>
      <c r="AJ94" s="12">
        <v>9406135143.4116497</v>
      </c>
      <c r="AK94" s="12">
        <v>10440781587.543501</v>
      </c>
      <c r="AL94" s="12">
        <v>11400017301.4587</v>
      </c>
      <c r="AM94" s="12">
        <v>12983233310.7467</v>
      </c>
      <c r="AN94" s="12">
        <v>14655404433.2771</v>
      </c>
      <c r="AO94" s="12">
        <v>15674835615.3139</v>
      </c>
      <c r="AP94" s="12">
        <v>17790026221.613899</v>
      </c>
      <c r="AQ94" s="12">
        <v>19395491992.9939</v>
      </c>
      <c r="AR94" s="12">
        <v>18318412251.364201</v>
      </c>
      <c r="AS94" s="12">
        <v>19288929030.0508</v>
      </c>
      <c r="AT94" s="12">
        <v>18405220247.4412</v>
      </c>
      <c r="AU94" s="12">
        <v>20444205991.025002</v>
      </c>
      <c r="AV94" s="12">
        <v>21576351798.914501</v>
      </c>
      <c r="AW94" s="12">
        <v>23577298094.657101</v>
      </c>
      <c r="AX94" s="12">
        <v>26783389293.922001</v>
      </c>
      <c r="AY94" s="12">
        <v>29744246827.183899</v>
      </c>
      <c r="AZ94" s="12">
        <v>33567850824.103901</v>
      </c>
      <c r="BA94" s="12">
        <v>38503720224.316597</v>
      </c>
      <c r="BB94" s="12">
        <v>37126148264.638298</v>
      </c>
      <c r="BC94" s="12">
        <v>40676578423.487099</v>
      </c>
      <c r="BD94" s="12">
        <v>46876006272.238701</v>
      </c>
      <c r="BE94" s="12">
        <v>49593929487.126297</v>
      </c>
      <c r="BF94" s="12">
        <v>52996446269.442001</v>
      </c>
      <c r="BG94" s="12">
        <v>57852153058.501999</v>
      </c>
      <c r="BH94" s="12">
        <v>62186064718.742401</v>
      </c>
      <c r="BI94" s="12">
        <v>66053403469.002403</v>
      </c>
      <c r="BJ94" s="12">
        <v>71653754066.276306</v>
      </c>
      <c r="BK94" s="12">
        <v>73328365862.432907</v>
      </c>
      <c r="BL94" s="12">
        <v>77172317258.647797</v>
      </c>
      <c r="BM94" s="12">
        <v>77715183063.205399</v>
      </c>
      <c r="BN94" s="12">
        <v>86053083476.029404</v>
      </c>
      <c r="BO94" s="12">
        <v>95003330315.875397</v>
      </c>
    </row>
    <row r="95" spans="1:67" x14ac:dyDescent="0.2">
      <c r="A95" s="12" t="s">
        <v>925</v>
      </c>
      <c r="B95" s="12" t="s">
        <v>1016</v>
      </c>
      <c r="C95" s="12" t="s">
        <v>978</v>
      </c>
      <c r="D95" s="12" t="s">
        <v>979</v>
      </c>
      <c r="AU95" s="12">
        <v>3394000000</v>
      </c>
      <c r="AV95" s="12">
        <v>3569000000</v>
      </c>
      <c r="AW95" s="12">
        <v>3869000000</v>
      </c>
      <c r="AX95" s="12">
        <v>4213000000</v>
      </c>
      <c r="AY95" s="12">
        <v>4238000000</v>
      </c>
      <c r="AZ95" s="12">
        <v>4397000000</v>
      </c>
      <c r="BA95" s="12">
        <v>4658000000</v>
      </c>
      <c r="BB95" s="12">
        <v>4828000000</v>
      </c>
      <c r="BC95" s="12">
        <v>4949000000</v>
      </c>
      <c r="BD95" s="12">
        <v>4984000000</v>
      </c>
      <c r="BE95" s="12">
        <v>5265000000</v>
      </c>
      <c r="BF95" s="12">
        <v>5399000000</v>
      </c>
      <c r="BG95" s="12">
        <v>5610000000</v>
      </c>
      <c r="BH95" s="12">
        <v>5799000000</v>
      </c>
      <c r="BI95" s="12">
        <v>5901000000</v>
      </c>
      <c r="BJ95" s="12">
        <v>6013000000</v>
      </c>
      <c r="BK95" s="12">
        <v>6056000000</v>
      </c>
      <c r="BL95" s="12">
        <v>6366000000</v>
      </c>
      <c r="BM95" s="12">
        <v>5886000000</v>
      </c>
      <c r="BN95" s="12">
        <v>6123000000</v>
      </c>
    </row>
    <row r="96" spans="1:67" x14ac:dyDescent="0.2">
      <c r="A96" s="12" t="s">
        <v>227</v>
      </c>
      <c r="B96" s="12" t="s">
        <v>226</v>
      </c>
      <c r="C96" s="12" t="s">
        <v>978</v>
      </c>
      <c r="D96" s="12" t="s">
        <v>979</v>
      </c>
      <c r="E96" s="12">
        <v>170216241.126064</v>
      </c>
      <c r="F96" s="12">
        <v>185849535.37616199</v>
      </c>
      <c r="G96" s="12">
        <v>194949512.62621799</v>
      </c>
      <c r="H96" s="12">
        <v>175757893.93859801</v>
      </c>
      <c r="I96" s="12">
        <v>194774513.06371701</v>
      </c>
      <c r="J96" s="12">
        <v>213235294.11764699</v>
      </c>
      <c r="K96" s="12">
        <v>228705882.35294101</v>
      </c>
      <c r="L96" s="12">
        <v>250176470.58823499</v>
      </c>
      <c r="M96" s="12">
        <v>229750000</v>
      </c>
      <c r="N96" s="12">
        <v>249300000</v>
      </c>
      <c r="O96" s="12">
        <v>267800000</v>
      </c>
      <c r="P96" s="12">
        <v>282050000</v>
      </c>
      <c r="Q96" s="12">
        <v>285380952.380952</v>
      </c>
      <c r="R96" s="12">
        <v>307047619.04761899</v>
      </c>
      <c r="S96" s="12">
        <v>433954545.45454502</v>
      </c>
      <c r="T96" s="12">
        <v>494791666.66666698</v>
      </c>
      <c r="U96" s="12">
        <v>454440000</v>
      </c>
      <c r="V96" s="12">
        <v>449880000</v>
      </c>
      <c r="W96" s="12">
        <v>507080000</v>
      </c>
      <c r="X96" s="12">
        <v>530440000</v>
      </c>
      <c r="Y96" s="12">
        <v>603200000</v>
      </c>
      <c r="Z96" s="12">
        <v>570357107.14285696</v>
      </c>
      <c r="AA96" s="12">
        <v>482000000</v>
      </c>
      <c r="AB96" s="12">
        <v>489333333.33333302</v>
      </c>
      <c r="AC96" s="12">
        <v>437631605.26315802</v>
      </c>
      <c r="AD96" s="12">
        <v>453488372.093023</v>
      </c>
      <c r="AE96" s="12">
        <v>504651139.53488398</v>
      </c>
      <c r="AF96" s="12">
        <v>354591846.938775</v>
      </c>
      <c r="AG96" s="12">
        <v>413799990</v>
      </c>
      <c r="AH96" s="12">
        <v>379779389.70588201</v>
      </c>
      <c r="AI96" s="12">
        <v>396582263.29113901</v>
      </c>
      <c r="AJ96" s="12">
        <v>348533094.81216502</v>
      </c>
      <c r="AK96" s="12">
        <v>373573141.48681098</v>
      </c>
      <c r="AL96" s="12">
        <v>454101382.48847902</v>
      </c>
      <c r="AM96" s="12">
        <v>540874934.20101202</v>
      </c>
      <c r="AN96" s="12">
        <v>621626785.91549301</v>
      </c>
      <c r="AO96" s="12">
        <v>705406001.42450094</v>
      </c>
      <c r="AP96" s="12">
        <v>749138009.56454003</v>
      </c>
      <c r="AQ96" s="12">
        <v>717530683.16956699</v>
      </c>
      <c r="AR96" s="12">
        <v>694754988.25829506</v>
      </c>
      <c r="AS96" s="12">
        <v>712667896.727512</v>
      </c>
      <c r="AT96" s="12">
        <v>712167450.16289794</v>
      </c>
      <c r="AU96" s="12">
        <v>726131434.71533799</v>
      </c>
      <c r="AV96" s="12">
        <v>743063950.31774902</v>
      </c>
      <c r="AW96" s="12">
        <v>787814379.18384302</v>
      </c>
      <c r="AX96" s="12">
        <v>824880550.34396505</v>
      </c>
      <c r="AY96" s="12">
        <v>2379817990.6918001</v>
      </c>
      <c r="AZ96" s="12">
        <v>2730971595.39574</v>
      </c>
      <c r="BA96" s="12">
        <v>3025187433.33637</v>
      </c>
      <c r="BB96" s="12">
        <v>3165663152.73351</v>
      </c>
      <c r="BC96" s="12">
        <v>3432912516.9242702</v>
      </c>
      <c r="BD96" s="12">
        <v>3691384317.52178</v>
      </c>
      <c r="BE96" s="12">
        <v>4063088535.76331</v>
      </c>
      <c r="BF96" s="12">
        <v>4167800935.5987601</v>
      </c>
      <c r="BG96" s="12">
        <v>4127660158.4725699</v>
      </c>
      <c r="BH96" s="12">
        <v>4279840193.7045999</v>
      </c>
      <c r="BI96" s="12">
        <v>4482697336.5617399</v>
      </c>
      <c r="BJ96" s="12">
        <v>4748174334.14044</v>
      </c>
      <c r="BK96" s="12">
        <v>4787637005.5356197</v>
      </c>
      <c r="BL96" s="12">
        <v>5173760191.8465204</v>
      </c>
      <c r="BM96" s="12">
        <v>5471256594.7242203</v>
      </c>
      <c r="BN96" s="12">
        <v>8041362110.3117504</v>
      </c>
      <c r="BO96" s="12">
        <v>14718388489.208599</v>
      </c>
    </row>
    <row r="97" spans="1:67" x14ac:dyDescent="0.2">
      <c r="A97" s="12" t="s">
        <v>1017</v>
      </c>
      <c r="B97" s="12" t="s">
        <v>1018</v>
      </c>
      <c r="C97" s="12" t="s">
        <v>978</v>
      </c>
      <c r="D97" s="12" t="s">
        <v>979</v>
      </c>
      <c r="E97" s="12">
        <v>1069197896768.27</v>
      </c>
      <c r="F97" s="12">
        <v>1132150856599.29</v>
      </c>
      <c r="G97" s="12">
        <v>1222092258455.51</v>
      </c>
      <c r="H97" s="12">
        <v>1316051012188.71</v>
      </c>
      <c r="I97" s="12">
        <v>1436550565253.7</v>
      </c>
      <c r="J97" s="12">
        <v>1560159896845.1699</v>
      </c>
      <c r="K97" s="12">
        <v>1711488832313.27</v>
      </c>
      <c r="L97" s="12">
        <v>1836230315691.6299</v>
      </c>
      <c r="M97" s="12">
        <v>1991173819679.0801</v>
      </c>
      <c r="N97" s="12">
        <v>2190645844017.6799</v>
      </c>
      <c r="O97" s="12">
        <v>2399019628554.9199</v>
      </c>
      <c r="P97" s="12">
        <v>2663395721346.9702</v>
      </c>
      <c r="Q97" s="12">
        <v>3090312537483.6401</v>
      </c>
      <c r="R97" s="12">
        <v>3740188872264.3198</v>
      </c>
      <c r="S97" s="12">
        <v>4217063891607.1401</v>
      </c>
      <c r="T97" s="12">
        <v>4705191478675.0898</v>
      </c>
      <c r="U97" s="12">
        <v>5127550630961.8398</v>
      </c>
      <c r="V97" s="12">
        <v>5807869990333.9902</v>
      </c>
      <c r="W97" s="12">
        <v>6962555327812.4102</v>
      </c>
      <c r="X97" s="12">
        <v>8047464903015.5303</v>
      </c>
      <c r="Y97" s="12">
        <v>8986821327712.0195</v>
      </c>
      <c r="Z97" s="12">
        <v>9125111440010.1504</v>
      </c>
      <c r="AA97" s="12">
        <v>9032642362011.8301</v>
      </c>
      <c r="AB97" s="12">
        <v>9335135045025.0801</v>
      </c>
      <c r="AC97" s="12">
        <v>9736197166684.4609</v>
      </c>
      <c r="AD97" s="12">
        <v>10222452715917.801</v>
      </c>
      <c r="AE97" s="12">
        <v>12419208445396</v>
      </c>
      <c r="AF97" s="12">
        <v>14394060946709.801</v>
      </c>
      <c r="AG97" s="12">
        <v>16205961615906.4</v>
      </c>
      <c r="AH97" s="12">
        <v>16954908332195.5</v>
      </c>
      <c r="AI97" s="12">
        <v>19038584120519.801</v>
      </c>
      <c r="AJ97" s="12">
        <v>20141226030673.301</v>
      </c>
      <c r="AK97" s="12">
        <v>21667616559850.199</v>
      </c>
      <c r="AL97" s="12">
        <v>21845057481105.602</v>
      </c>
      <c r="AM97" s="12">
        <v>23425501389994.801</v>
      </c>
      <c r="AN97" s="12">
        <v>26014334904341.5</v>
      </c>
      <c r="AO97" s="12">
        <v>26238484750119.699</v>
      </c>
      <c r="AP97" s="12">
        <v>25790805396452.5</v>
      </c>
      <c r="AQ97" s="12">
        <v>25887178510680.102</v>
      </c>
      <c r="AR97" s="12">
        <v>27193488574949.801</v>
      </c>
      <c r="AS97" s="12">
        <v>27763709846117</v>
      </c>
      <c r="AT97" s="12">
        <v>27490207880780.301</v>
      </c>
      <c r="AU97" s="12">
        <v>28660779913534.801</v>
      </c>
      <c r="AV97" s="12">
        <v>32123363956699.699</v>
      </c>
      <c r="AW97" s="12">
        <v>35770309886950.398</v>
      </c>
      <c r="AX97" s="12">
        <v>37829846771041.5</v>
      </c>
      <c r="AY97" s="12">
        <v>39961525167019.703</v>
      </c>
      <c r="AZ97" s="12">
        <v>43754245600209.203</v>
      </c>
      <c r="BA97" s="12">
        <v>46622467342703.703</v>
      </c>
      <c r="BB97" s="12">
        <v>43665289317606.297</v>
      </c>
      <c r="BC97" s="12">
        <v>45764260594016.398</v>
      </c>
      <c r="BD97" s="12">
        <v>49420915501761.602</v>
      </c>
      <c r="BE97" s="12">
        <v>49446936532750</v>
      </c>
      <c r="BF97" s="12">
        <v>50053500714034.203</v>
      </c>
      <c r="BG97" s="12">
        <v>51135722778258.5</v>
      </c>
      <c r="BH97" s="12">
        <v>48269197364265.602</v>
      </c>
      <c r="BI97" s="12">
        <v>49296300074775</v>
      </c>
      <c r="BJ97" s="12">
        <v>51568259173072.602</v>
      </c>
      <c r="BK97" s="12">
        <v>54836830985504.102</v>
      </c>
      <c r="BL97" s="12">
        <v>55313082529074.297</v>
      </c>
      <c r="BM97" s="12">
        <v>53962245346670.102</v>
      </c>
      <c r="BN97" s="12">
        <v>60245547578675.297</v>
      </c>
      <c r="BO97" s="12">
        <v>61729512123777.898</v>
      </c>
    </row>
    <row r="98" spans="1:67" x14ac:dyDescent="0.2">
      <c r="A98" s="12" t="s">
        <v>1019</v>
      </c>
      <c r="B98" s="12" t="s">
        <v>1020</v>
      </c>
      <c r="C98" s="12" t="s">
        <v>978</v>
      </c>
      <c r="D98" s="12" t="s">
        <v>979</v>
      </c>
      <c r="E98" s="12">
        <v>1320796651.6945701</v>
      </c>
      <c r="F98" s="12">
        <v>1383681651.1377599</v>
      </c>
      <c r="G98" s="12">
        <v>1612346412.26475</v>
      </c>
      <c r="H98" s="12">
        <v>1935298266.45384</v>
      </c>
      <c r="I98" s="12">
        <v>2206466461.2643399</v>
      </c>
      <c r="J98" s="12">
        <v>2435078534.0314102</v>
      </c>
      <c r="K98" s="12">
        <v>2489845016.6489401</v>
      </c>
      <c r="L98" s="12">
        <v>2692474989.12571</v>
      </c>
      <c r="M98" s="12">
        <v>2716964388.42418</v>
      </c>
      <c r="N98" s="12">
        <v>3189740055.1398201</v>
      </c>
      <c r="O98" s="12">
        <v>3800766535.6208801</v>
      </c>
      <c r="P98" s="12">
        <v>4476001946.0148602</v>
      </c>
      <c r="Q98" s="12">
        <v>5710090213.1503496</v>
      </c>
      <c r="R98" s="12">
        <v>8030117555.6203299</v>
      </c>
      <c r="S98" s="12">
        <v>9388695366.8457794</v>
      </c>
      <c r="T98" s="12">
        <v>10048089558.063601</v>
      </c>
      <c r="U98" s="12">
        <v>12876366008.807699</v>
      </c>
      <c r="V98" s="12">
        <v>15719433719.433701</v>
      </c>
      <c r="W98" s="12">
        <v>18315136409.1427</v>
      </c>
      <c r="X98" s="12">
        <v>22526184533.169998</v>
      </c>
      <c r="Y98" s="12">
        <v>28861857810.651501</v>
      </c>
      <c r="Z98" s="12">
        <v>31055226088.694302</v>
      </c>
      <c r="AA98" s="12">
        <v>32291215843.643299</v>
      </c>
      <c r="AB98" s="12">
        <v>29907227184.179001</v>
      </c>
      <c r="AC98" s="12">
        <v>33511383985.674099</v>
      </c>
      <c r="AD98" s="12">
        <v>35699772165.709297</v>
      </c>
      <c r="AE98" s="12">
        <v>41075396884.895203</v>
      </c>
      <c r="AF98" s="12">
        <v>50622896162.600601</v>
      </c>
      <c r="AG98" s="12">
        <v>59707404560.594398</v>
      </c>
      <c r="AH98" s="12">
        <v>68790219177.973297</v>
      </c>
      <c r="AI98" s="12">
        <v>76928784620.815796</v>
      </c>
      <c r="AJ98" s="12">
        <v>88959997899.929306</v>
      </c>
      <c r="AK98" s="12">
        <v>104272507639.282</v>
      </c>
      <c r="AL98" s="12">
        <v>120354212475</v>
      </c>
      <c r="AM98" s="12">
        <v>135811771026.33</v>
      </c>
      <c r="AN98" s="12">
        <v>144652295363.66699</v>
      </c>
      <c r="AO98" s="12">
        <v>159718183550.73401</v>
      </c>
      <c r="AP98" s="12">
        <v>177353174849.71399</v>
      </c>
      <c r="AQ98" s="12">
        <v>168885443660.07199</v>
      </c>
      <c r="AR98" s="12">
        <v>165768095391.55701</v>
      </c>
      <c r="AS98" s="12">
        <v>171668891194.349</v>
      </c>
      <c r="AT98" s="12">
        <v>169404327616.60501</v>
      </c>
      <c r="AU98" s="12">
        <v>166348866131.02802</v>
      </c>
      <c r="AV98" s="12">
        <v>161385558801.811</v>
      </c>
      <c r="AW98" s="12">
        <v>169099768875.19299</v>
      </c>
      <c r="AX98" s="12">
        <v>181569311742.21301</v>
      </c>
      <c r="AY98" s="12">
        <v>193535442896.36499</v>
      </c>
      <c r="AZ98" s="12">
        <v>211596944503.79999</v>
      </c>
      <c r="BA98" s="12">
        <v>219278749139.73401</v>
      </c>
      <c r="BB98" s="12">
        <v>214047795659.04501</v>
      </c>
      <c r="BC98" s="12">
        <v>228638668727.29099</v>
      </c>
      <c r="BD98" s="12">
        <v>248513617677.28699</v>
      </c>
      <c r="BE98" s="12">
        <v>262628865879.69699</v>
      </c>
      <c r="BF98" s="12">
        <v>275696879834.966</v>
      </c>
      <c r="BG98" s="12">
        <v>291459995978.89301</v>
      </c>
      <c r="BH98" s="12">
        <v>309385622601.34802</v>
      </c>
      <c r="BI98" s="12">
        <v>320860317562.56201</v>
      </c>
      <c r="BJ98" s="12">
        <v>341273289534.466</v>
      </c>
      <c r="BK98" s="12">
        <v>361731070995.72601</v>
      </c>
      <c r="BL98" s="12">
        <v>363074545072.38898</v>
      </c>
      <c r="BM98" s="12">
        <v>344943149590.05798</v>
      </c>
      <c r="BN98" s="12">
        <v>368911387845.41803</v>
      </c>
      <c r="BO98" s="12">
        <v>359838583490.06299</v>
      </c>
    </row>
    <row r="99" spans="1:67" x14ac:dyDescent="0.2">
      <c r="A99" s="12" t="s">
        <v>259</v>
      </c>
      <c r="B99" s="12" t="s">
        <v>258</v>
      </c>
      <c r="C99" s="12" t="s">
        <v>978</v>
      </c>
      <c r="D99" s="12" t="s">
        <v>979</v>
      </c>
      <c r="E99" s="12">
        <v>335650000</v>
      </c>
      <c r="F99" s="12">
        <v>356200000</v>
      </c>
      <c r="G99" s="12">
        <v>387750000</v>
      </c>
      <c r="H99" s="12">
        <v>410200000</v>
      </c>
      <c r="I99" s="12">
        <v>457000000</v>
      </c>
      <c r="J99" s="12">
        <v>508650000</v>
      </c>
      <c r="K99" s="12">
        <v>549950000</v>
      </c>
      <c r="L99" s="12">
        <v>598100000</v>
      </c>
      <c r="M99" s="12">
        <v>646800000</v>
      </c>
      <c r="N99" s="12">
        <v>668000050</v>
      </c>
      <c r="O99" s="12">
        <v>723000000</v>
      </c>
      <c r="P99" s="12">
        <v>731000000</v>
      </c>
      <c r="Q99" s="12">
        <v>802996336.51648605</v>
      </c>
      <c r="R99" s="12">
        <v>912499493.75025296</v>
      </c>
      <c r="S99" s="12">
        <v>1034500000</v>
      </c>
      <c r="T99" s="12">
        <v>1124000000</v>
      </c>
      <c r="U99" s="12">
        <v>1347999950</v>
      </c>
      <c r="V99" s="12">
        <v>1669499950</v>
      </c>
      <c r="W99" s="12">
        <v>3097242093.1999998</v>
      </c>
      <c r="X99" s="12">
        <v>3544281976.3000002</v>
      </c>
      <c r="Y99" s="12">
        <v>3968160046</v>
      </c>
      <c r="Z99" s="12">
        <v>4043894878.5999999</v>
      </c>
      <c r="AA99" s="12">
        <v>4266503525.5999999</v>
      </c>
      <c r="AB99" s="12">
        <v>4476697184.8500004</v>
      </c>
      <c r="AC99" s="12">
        <v>4915311846.5</v>
      </c>
      <c r="AD99" s="12">
        <v>5278120712.5</v>
      </c>
      <c r="AE99" s="12">
        <v>5677828959</v>
      </c>
      <c r="AF99" s="12">
        <v>6190521241.5</v>
      </c>
      <c r="AG99" s="12">
        <v>5902717091.4163103</v>
      </c>
      <c r="AH99" s="12">
        <v>5432344901.7241402</v>
      </c>
      <c r="AI99" s="12">
        <v>4923009551.5564203</v>
      </c>
      <c r="AJ99" s="12">
        <v>4648668478.5675297</v>
      </c>
      <c r="AK99" s="12">
        <v>4943700431.0736799</v>
      </c>
      <c r="AL99" s="12">
        <v>4926728932.9506903</v>
      </c>
      <c r="AM99" s="12">
        <v>4642280682.14252</v>
      </c>
      <c r="AN99" s="12">
        <v>5347445005.2137604</v>
      </c>
      <c r="AO99" s="12">
        <v>5215028986.4864902</v>
      </c>
      <c r="AP99" s="12">
        <v>5737099650.1901102</v>
      </c>
      <c r="AQ99" s="12">
        <v>6366340265.8788795</v>
      </c>
      <c r="AR99" s="12">
        <v>6414520529.6167202</v>
      </c>
      <c r="AS99" s="12">
        <v>7186638029.0587502</v>
      </c>
      <c r="AT99" s="12">
        <v>7651162302.3456001</v>
      </c>
      <c r="AU99" s="12">
        <v>7858255412.8603802</v>
      </c>
      <c r="AV99" s="12">
        <v>8230391346.6722803</v>
      </c>
      <c r="AW99" s="12">
        <v>8869299234.3376999</v>
      </c>
      <c r="AX99" s="12">
        <v>9757012696.5621204</v>
      </c>
      <c r="AY99" s="12">
        <v>10917477066.1429</v>
      </c>
      <c r="AZ99" s="12">
        <v>12361257680.5627</v>
      </c>
      <c r="BA99" s="12">
        <v>13881731875.746599</v>
      </c>
      <c r="BB99" s="12">
        <v>14587496229.181101</v>
      </c>
      <c r="BC99" s="12">
        <v>15839344591.9842</v>
      </c>
      <c r="BD99" s="12">
        <v>17710275685.407398</v>
      </c>
      <c r="BE99" s="12">
        <v>18528554397.5695</v>
      </c>
      <c r="BF99" s="12">
        <v>18499729214.903999</v>
      </c>
      <c r="BG99" s="12">
        <v>19756533971.869801</v>
      </c>
      <c r="BH99" s="12">
        <v>20979791685.416</v>
      </c>
      <c r="BI99" s="12">
        <v>21717604952.183498</v>
      </c>
      <c r="BJ99" s="12">
        <v>23136247990.597698</v>
      </c>
      <c r="BK99" s="12">
        <v>24067750760.499001</v>
      </c>
      <c r="BL99" s="12">
        <v>25089937021.541801</v>
      </c>
      <c r="BM99" s="12">
        <v>23827859226.8834</v>
      </c>
      <c r="BN99" s="12">
        <v>28488721680.850201</v>
      </c>
      <c r="BO99" s="12">
        <v>31717699764.362099</v>
      </c>
    </row>
    <row r="100" spans="1:67" x14ac:dyDescent="0.2">
      <c r="A100" s="12" t="s">
        <v>1021</v>
      </c>
      <c r="B100" s="12" t="s">
        <v>1022</v>
      </c>
      <c r="C100" s="12" t="s">
        <v>978</v>
      </c>
      <c r="D100" s="12" t="s">
        <v>979</v>
      </c>
      <c r="F100" s="12">
        <v>16026816013.703899</v>
      </c>
      <c r="G100" s="12">
        <v>16850176783.973101</v>
      </c>
      <c r="H100" s="12">
        <v>18119164975.2103</v>
      </c>
      <c r="I100" s="12">
        <v>19792070134.781101</v>
      </c>
      <c r="J100" s="12">
        <v>21943615212.3629</v>
      </c>
      <c r="K100" s="12">
        <v>23731783507.444698</v>
      </c>
      <c r="L100" s="12">
        <v>24583120135.734798</v>
      </c>
      <c r="M100" s="12">
        <v>25612169678.364101</v>
      </c>
      <c r="N100" s="12">
        <v>27548985866.752399</v>
      </c>
      <c r="O100" s="12">
        <v>29386390013.052799</v>
      </c>
      <c r="P100" s="12">
        <v>31114391061.647499</v>
      </c>
      <c r="Q100" s="12">
        <v>33789192681.938202</v>
      </c>
      <c r="R100" s="12">
        <v>41327395049.922302</v>
      </c>
      <c r="S100" s="12">
        <v>48547919805.247597</v>
      </c>
      <c r="T100" s="12">
        <v>56719679290.968002</v>
      </c>
      <c r="U100" s="12">
        <v>61724657377.1847</v>
      </c>
      <c r="V100" s="12">
        <v>71011776748.683395</v>
      </c>
      <c r="W100" s="12">
        <v>83602157062.248199</v>
      </c>
      <c r="X100" s="12">
        <v>96195478492.9422</v>
      </c>
      <c r="Y100" s="12">
        <v>106580880893.80901</v>
      </c>
      <c r="Z100" s="12">
        <v>106361455488.88901</v>
      </c>
      <c r="AA100" s="12">
        <v>103473506815.991</v>
      </c>
      <c r="AB100" s="12">
        <v>101141609099.11301</v>
      </c>
      <c r="AC100" s="12">
        <v>105390367870.632</v>
      </c>
      <c r="AD100" s="12">
        <v>101982685638.295</v>
      </c>
      <c r="AE100" s="12">
        <v>118961211231.77901</v>
      </c>
      <c r="AF100" s="12">
        <v>129551529381.41</v>
      </c>
      <c r="AG100" s="12">
        <v>139304428898.24301</v>
      </c>
      <c r="AH100" s="12">
        <v>141735826138.245</v>
      </c>
      <c r="AI100" s="12">
        <v>164071125608.07101</v>
      </c>
      <c r="AJ100" s="12">
        <v>178903232995.90601</v>
      </c>
      <c r="AK100" s="12">
        <v>133512520062.386</v>
      </c>
      <c r="AL100" s="12">
        <v>138023307917.08499</v>
      </c>
      <c r="AM100" s="12">
        <v>116901099797.62801</v>
      </c>
      <c r="AN100" s="12">
        <v>136433448988.214</v>
      </c>
      <c r="AO100" s="12">
        <v>148255186001.67001</v>
      </c>
      <c r="AP100" s="12">
        <v>154571132730.422</v>
      </c>
      <c r="AQ100" s="12">
        <v>163102738357.36099</v>
      </c>
      <c r="AR100" s="12">
        <v>163901623373.11499</v>
      </c>
      <c r="AS100" s="12">
        <v>177663096089.961</v>
      </c>
      <c r="AT100" s="12">
        <v>172678385684.48599</v>
      </c>
      <c r="AU100" s="12">
        <v>186824683089.48199</v>
      </c>
      <c r="AV100" s="12">
        <v>211469340952.27802</v>
      </c>
      <c r="AW100" s="12">
        <v>243411583213.56601</v>
      </c>
      <c r="AX100" s="12">
        <v>279301911926.24103</v>
      </c>
      <c r="AY100" s="12">
        <v>329879571028.02899</v>
      </c>
      <c r="AZ100" s="12">
        <v>395503357065.87402</v>
      </c>
      <c r="BA100" s="12">
        <v>470556907544.47498</v>
      </c>
      <c r="BB100" s="12">
        <v>469950333957.96301</v>
      </c>
      <c r="BC100" s="12">
        <v>510829992111.63</v>
      </c>
      <c r="BD100" s="12">
        <v>566140654374.94495</v>
      </c>
      <c r="BE100" s="12">
        <v>584993160173.40601</v>
      </c>
      <c r="BF100" s="12">
        <v>655793265436.99194</v>
      </c>
      <c r="BG100" s="12">
        <v>694264702912.72205</v>
      </c>
      <c r="BH100" s="12">
        <v>667198839904.95203</v>
      </c>
      <c r="BI100" s="12">
        <v>674447090244.88696</v>
      </c>
      <c r="BJ100" s="12">
        <v>724638107711.224</v>
      </c>
      <c r="BK100" s="12">
        <v>774573998850.90601</v>
      </c>
      <c r="BL100" s="12">
        <v>802980678249.15601</v>
      </c>
      <c r="BM100" s="12">
        <v>811638956819.19897</v>
      </c>
      <c r="BN100" s="12">
        <v>901695869344.62305</v>
      </c>
      <c r="BO100" s="12">
        <v>980688371242.57202</v>
      </c>
    </row>
    <row r="101" spans="1:67" x14ac:dyDescent="0.2">
      <c r="A101" s="12" t="s">
        <v>153</v>
      </c>
      <c r="B101" s="12" t="s">
        <v>152</v>
      </c>
      <c r="C101" s="12" t="s">
        <v>978</v>
      </c>
      <c r="D101" s="12" t="s">
        <v>979</v>
      </c>
      <c r="AN101" s="12">
        <v>22778297035.847698</v>
      </c>
      <c r="AO101" s="12">
        <v>24147533301.9114</v>
      </c>
      <c r="AP101" s="12">
        <v>24172615103.914902</v>
      </c>
      <c r="AQ101" s="12">
        <v>25885224259.191898</v>
      </c>
      <c r="AR101" s="12">
        <v>23770159784.257198</v>
      </c>
      <c r="AS101" s="12">
        <v>22128719418.437599</v>
      </c>
      <c r="AT101" s="12">
        <v>23063323722.500702</v>
      </c>
      <c r="AU101" s="12">
        <v>26757255951.778599</v>
      </c>
      <c r="AV101" s="12">
        <v>35254833028.402</v>
      </c>
      <c r="AW101" s="12">
        <v>41855265955.291901</v>
      </c>
      <c r="AX101" s="12">
        <v>45025332739.6707</v>
      </c>
      <c r="AY101" s="12">
        <v>49601608068.547203</v>
      </c>
      <c r="AZ101" s="12">
        <v>59319172946.682899</v>
      </c>
      <c r="BA101" s="12">
        <v>68519137406.168297</v>
      </c>
      <c r="BB101" s="12">
        <v>62085753435.586899</v>
      </c>
      <c r="BC101" s="12">
        <v>58819429750.223396</v>
      </c>
      <c r="BD101" s="12">
        <v>62736258335.354103</v>
      </c>
      <c r="BE101" s="12">
        <v>57354547991.221298</v>
      </c>
      <c r="BF101" s="12">
        <v>59491066217.908798</v>
      </c>
      <c r="BG101" s="12">
        <v>59342363988.804001</v>
      </c>
      <c r="BH101" s="12">
        <v>50857353544.284698</v>
      </c>
      <c r="BI101" s="12">
        <v>52512987755.963501</v>
      </c>
      <c r="BJ101" s="12">
        <v>56061675144.382896</v>
      </c>
      <c r="BK101" s="12">
        <v>61481309636.128899</v>
      </c>
      <c r="BL101" s="12">
        <v>61470295887.838402</v>
      </c>
      <c r="BM101" s="12">
        <v>57760024673.935898</v>
      </c>
      <c r="BN101" s="12">
        <v>69081236641.246902</v>
      </c>
      <c r="BO101" s="12">
        <v>71600049650.195007</v>
      </c>
    </row>
    <row r="102" spans="1:67" x14ac:dyDescent="0.2">
      <c r="A102" s="12" t="s">
        <v>311</v>
      </c>
      <c r="B102" s="12" t="s">
        <v>310</v>
      </c>
      <c r="C102" s="12" t="s">
        <v>978</v>
      </c>
      <c r="D102" s="12" t="s">
        <v>979</v>
      </c>
      <c r="E102" s="12">
        <v>273187199.78144997</v>
      </c>
      <c r="F102" s="12">
        <v>271065999.78314698</v>
      </c>
      <c r="G102" s="12">
        <v>281896799.77448303</v>
      </c>
      <c r="H102" s="12">
        <v>294883399.76409298</v>
      </c>
      <c r="I102" s="12">
        <v>325281199.739775</v>
      </c>
      <c r="J102" s="12">
        <v>353251799.717399</v>
      </c>
      <c r="K102" s="12">
        <v>368948599.70484102</v>
      </c>
      <c r="L102" s="12">
        <v>369124199.70470101</v>
      </c>
      <c r="M102" s="12">
        <v>367968799.705625</v>
      </c>
      <c r="N102" s="12">
        <v>391820399.686544</v>
      </c>
      <c r="O102" s="12">
        <v>331199999.73504001</v>
      </c>
      <c r="P102" s="12">
        <v>362799999.70976001</v>
      </c>
      <c r="Q102" s="12">
        <v>371998971.85506701</v>
      </c>
      <c r="R102" s="12">
        <v>466798975.00493801</v>
      </c>
      <c r="S102" s="12">
        <v>565399296.71813202</v>
      </c>
      <c r="T102" s="12">
        <v>681400000.13627994</v>
      </c>
      <c r="U102" s="12">
        <v>879000000.17579997</v>
      </c>
      <c r="V102" s="12">
        <v>947000000.18939996</v>
      </c>
      <c r="W102" s="12">
        <v>974200000.19483995</v>
      </c>
      <c r="X102" s="12">
        <v>1080600000.21612</v>
      </c>
      <c r="Y102" s="12">
        <v>1383800000.2767601</v>
      </c>
      <c r="Z102" s="12">
        <v>1479400000.2958801</v>
      </c>
      <c r="AA102" s="12">
        <v>1474200000.2948401</v>
      </c>
      <c r="AB102" s="12">
        <v>1623600000.3247199</v>
      </c>
      <c r="AC102" s="12">
        <v>1816200000.2421601</v>
      </c>
      <c r="AD102" s="12">
        <v>2009400000</v>
      </c>
      <c r="AE102" s="12">
        <v>2318000000</v>
      </c>
      <c r="AF102" s="12">
        <v>2047200000</v>
      </c>
      <c r="AG102" s="12">
        <v>2613926800</v>
      </c>
      <c r="AH102" s="12">
        <v>2736243800</v>
      </c>
      <c r="AI102" s="12">
        <v>3096289800</v>
      </c>
      <c r="AJ102" s="12">
        <v>3473562850.2579799</v>
      </c>
      <c r="AK102" s="12">
        <v>2257129873.6626101</v>
      </c>
      <c r="AL102" s="12">
        <v>1878253818.0327499</v>
      </c>
      <c r="AM102" s="12">
        <v>2167569095.07336</v>
      </c>
      <c r="AN102" s="12">
        <v>2813313278.8108201</v>
      </c>
      <c r="AO102" s="12">
        <v>2907517543.41886</v>
      </c>
      <c r="AP102" s="12">
        <v>3338949151.5992699</v>
      </c>
      <c r="AQ102" s="12">
        <v>3723903723.6377201</v>
      </c>
      <c r="AR102" s="12">
        <v>4153725966.8020301</v>
      </c>
      <c r="AS102" s="12">
        <v>6813565983.2328501</v>
      </c>
      <c r="AT102" s="12">
        <v>6331970412.7965298</v>
      </c>
      <c r="AU102" s="12">
        <v>6205847136.9539604</v>
      </c>
      <c r="AV102" s="12">
        <v>5071947798.0254402</v>
      </c>
      <c r="AW102" s="12">
        <v>6087360734.6231499</v>
      </c>
      <c r="AX102" s="12">
        <v>7030149790.9012299</v>
      </c>
      <c r="AY102" s="12">
        <v>7638739123.6374702</v>
      </c>
      <c r="AZ102" s="12">
        <v>9228637766.3531895</v>
      </c>
      <c r="BA102" s="12">
        <v>10432962724.618299</v>
      </c>
      <c r="BB102" s="12">
        <v>11597002929.703899</v>
      </c>
      <c r="BC102" s="12">
        <v>11859312627.1744</v>
      </c>
      <c r="BD102" s="12">
        <v>13008746038.8867</v>
      </c>
      <c r="BE102" s="12">
        <v>13708925402.9447</v>
      </c>
      <c r="BF102" s="12">
        <v>14902488489.1696</v>
      </c>
      <c r="BG102" s="12">
        <v>15146883647.3239</v>
      </c>
      <c r="BH102" s="12">
        <v>14849629407.887199</v>
      </c>
      <c r="BI102" s="12">
        <v>14069277532.519899</v>
      </c>
      <c r="BJ102" s="12">
        <v>15093357143.2889</v>
      </c>
      <c r="BK102" s="12">
        <v>16403864522.053801</v>
      </c>
      <c r="BL102" s="12">
        <v>15016090929.512501</v>
      </c>
      <c r="BM102" s="12">
        <v>14508222518.3018</v>
      </c>
      <c r="BN102" s="12">
        <v>20877414952.637501</v>
      </c>
      <c r="BO102" s="12">
        <v>20253551884.605499</v>
      </c>
    </row>
    <row r="103" spans="1:67" x14ac:dyDescent="0.2">
      <c r="A103" s="12" t="s">
        <v>115</v>
      </c>
      <c r="B103" s="12" t="s">
        <v>114</v>
      </c>
      <c r="C103" s="12" t="s">
        <v>978</v>
      </c>
      <c r="D103" s="12" t="s">
        <v>979</v>
      </c>
      <c r="AJ103" s="12">
        <v>34753569692.915001</v>
      </c>
      <c r="AK103" s="12">
        <v>38730585922.218903</v>
      </c>
      <c r="AL103" s="12">
        <v>40124916940.594498</v>
      </c>
      <c r="AM103" s="12">
        <v>43166678735.2183</v>
      </c>
      <c r="AN103" s="12">
        <v>46425677734.143501</v>
      </c>
      <c r="AO103" s="12">
        <v>46658755151.6017</v>
      </c>
      <c r="AP103" s="12">
        <v>47296952928.756104</v>
      </c>
      <c r="AQ103" s="12">
        <v>48706787306.257401</v>
      </c>
      <c r="AR103" s="12">
        <v>49073380173.715897</v>
      </c>
      <c r="AS103" s="12">
        <v>47218405892.425797</v>
      </c>
      <c r="AT103" s="12">
        <v>53749989092.019699</v>
      </c>
      <c r="AU103" s="12">
        <v>67608919144.368401</v>
      </c>
      <c r="AV103" s="12">
        <v>85285062818.007706</v>
      </c>
      <c r="AW103" s="12">
        <v>104120820258.66901</v>
      </c>
      <c r="AX103" s="12">
        <v>113211158292.936</v>
      </c>
      <c r="AY103" s="12">
        <v>115715618613.052</v>
      </c>
      <c r="AZ103" s="12">
        <v>140186716681.42499</v>
      </c>
      <c r="BA103" s="12">
        <v>158325614580.62799</v>
      </c>
      <c r="BB103" s="12">
        <v>131069255620.567</v>
      </c>
      <c r="BC103" s="12">
        <v>132175349953.713</v>
      </c>
      <c r="BD103" s="12">
        <v>141942264554.47501</v>
      </c>
      <c r="BE103" s="12">
        <v>128814279315.132</v>
      </c>
      <c r="BF103" s="12">
        <v>135684315697.713</v>
      </c>
      <c r="BG103" s="12">
        <v>141033843265.66901</v>
      </c>
      <c r="BH103" s="12">
        <v>125174166987.37199</v>
      </c>
      <c r="BI103" s="12">
        <v>128609822750.039</v>
      </c>
      <c r="BJ103" s="12">
        <v>143112196040.32599</v>
      </c>
      <c r="BK103" s="12">
        <v>160565642983.58701</v>
      </c>
      <c r="BL103" s="12">
        <v>164020460331.659</v>
      </c>
      <c r="BM103" s="12">
        <v>157227094449.07401</v>
      </c>
      <c r="BN103" s="12">
        <v>182090041757.26901</v>
      </c>
      <c r="BO103" s="12">
        <v>177337436677.36499</v>
      </c>
    </row>
    <row r="104" spans="1:67" x14ac:dyDescent="0.2">
      <c r="A104" s="12" t="s">
        <v>1023</v>
      </c>
      <c r="B104" s="12" t="s">
        <v>1024</v>
      </c>
      <c r="C104" s="12" t="s">
        <v>978</v>
      </c>
      <c r="D104" s="12" t="s">
        <v>979</v>
      </c>
      <c r="E104" s="12">
        <v>322368517172.599</v>
      </c>
      <c r="F104" s="12">
        <v>317696787509.86298</v>
      </c>
      <c r="G104" s="12">
        <v>322205643058.63397</v>
      </c>
      <c r="H104" s="12">
        <v>355289052660.65002</v>
      </c>
      <c r="I104" s="12">
        <v>403092988661.60999</v>
      </c>
      <c r="J104" s="12">
        <v>441790286680.33698</v>
      </c>
      <c r="K104" s="12">
        <v>446545376934.33502</v>
      </c>
      <c r="L104" s="12">
        <v>464147516106.01202</v>
      </c>
      <c r="M104" s="12">
        <v>488259685156.44202</v>
      </c>
      <c r="N104" s="12">
        <v>543141228550.76202</v>
      </c>
      <c r="O104" s="12">
        <v>591904051733.01294</v>
      </c>
      <c r="P104" s="12">
        <v>641734200042.94604</v>
      </c>
      <c r="Q104" s="12">
        <v>721889665838.245</v>
      </c>
      <c r="R104" s="12">
        <v>909459634653.18298</v>
      </c>
      <c r="S104" s="12">
        <v>1125975805749.21</v>
      </c>
      <c r="T104" s="12">
        <v>1242410971586.51</v>
      </c>
      <c r="U104" s="12">
        <v>1334405842352.6299</v>
      </c>
      <c r="V104" s="12">
        <v>1514583336315.77</v>
      </c>
      <c r="W104" s="12">
        <v>1751601359237.49</v>
      </c>
      <c r="X104" s="12">
        <v>2128021823938.98</v>
      </c>
      <c r="Y104" s="12">
        <v>2596874392444.6602</v>
      </c>
      <c r="Z104" s="12">
        <v>2748801332981.6401</v>
      </c>
      <c r="AA104" s="12">
        <v>2647427168038.6899</v>
      </c>
      <c r="AB104" s="12">
        <v>2712710354664.7998</v>
      </c>
      <c r="AC104" s="12">
        <v>2787073855272.3901</v>
      </c>
      <c r="AD104" s="12">
        <v>2781760678989.8301</v>
      </c>
      <c r="AE104" s="12">
        <v>2841105388481.5601</v>
      </c>
      <c r="AF104" s="12">
        <v>2980906413497.77</v>
      </c>
      <c r="AG104" s="12">
        <v>3239207812132.96</v>
      </c>
      <c r="AH104" s="12">
        <v>3272833501995.4399</v>
      </c>
      <c r="AI104" s="12">
        <v>3651722902871</v>
      </c>
      <c r="AJ104" s="12">
        <v>3532186083374.3198</v>
      </c>
      <c r="AK104" s="12">
        <v>3751674050194.3901</v>
      </c>
      <c r="AL104" s="12">
        <v>4178561247227.8701</v>
      </c>
      <c r="AM104" s="12">
        <v>4359648199588.9199</v>
      </c>
      <c r="AN104" s="12">
        <v>4917192704220.21</v>
      </c>
      <c r="AO104" s="12">
        <v>5368935707824.0703</v>
      </c>
      <c r="AP104" s="12">
        <v>5694558884719.0898</v>
      </c>
      <c r="AQ104" s="12">
        <v>5541013125786.2002</v>
      </c>
      <c r="AR104" s="12">
        <v>5397084617176.04</v>
      </c>
      <c r="AS104" s="12">
        <v>5873696631999.6797</v>
      </c>
      <c r="AT104" s="12">
        <v>5951097981281.8203</v>
      </c>
      <c r="AU104" s="12">
        <v>6039799127447.1504</v>
      </c>
      <c r="AV104" s="12">
        <v>6784137742762.8896</v>
      </c>
      <c r="AW104" s="12">
        <v>8080737354198.0898</v>
      </c>
      <c r="AX104" s="12">
        <v>9655876822627.4102</v>
      </c>
      <c r="AY104" s="12">
        <v>11448899080449.6</v>
      </c>
      <c r="AZ104" s="12">
        <v>14215804352690.4</v>
      </c>
      <c r="BA104" s="12">
        <v>17052207760183.9</v>
      </c>
      <c r="BB104" s="12">
        <v>16531766759462.699</v>
      </c>
      <c r="BC104" s="12">
        <v>20098100461405.301</v>
      </c>
      <c r="BD104" s="12">
        <v>23790827490517.801</v>
      </c>
      <c r="BE104" s="12">
        <v>25288537909920.5</v>
      </c>
      <c r="BF104" s="12">
        <v>26673612339015.898</v>
      </c>
      <c r="BG104" s="12">
        <v>27568004914940.801</v>
      </c>
      <c r="BH104" s="12">
        <v>25819766400979.801</v>
      </c>
      <c r="BI104" s="12">
        <v>26009532000369.699</v>
      </c>
      <c r="BJ104" s="12">
        <v>28726091683851</v>
      </c>
      <c r="BK104" s="12">
        <v>30560357864180</v>
      </c>
      <c r="BL104" s="12">
        <v>31223142705198.898</v>
      </c>
      <c r="BM104" s="12">
        <v>30066587396556.602</v>
      </c>
      <c r="BN104" s="12">
        <v>35660094024046</v>
      </c>
      <c r="BO104" s="12">
        <v>37752366428370</v>
      </c>
    </row>
    <row r="105" spans="1:67" x14ac:dyDescent="0.2">
      <c r="A105" s="12" t="s">
        <v>1025</v>
      </c>
      <c r="B105" s="12" t="s">
        <v>1026</v>
      </c>
      <c r="C105" s="12" t="s">
        <v>978</v>
      </c>
      <c r="D105" s="12" t="s">
        <v>979</v>
      </c>
      <c r="E105" s="12">
        <v>359232559357.172</v>
      </c>
      <c r="F105" s="12">
        <v>358391174767.02399</v>
      </c>
      <c r="G105" s="12">
        <v>365922300420.44299</v>
      </c>
      <c r="H105" s="12">
        <v>400480365897.10901</v>
      </c>
      <c r="I105" s="12">
        <v>450427625806.104</v>
      </c>
      <c r="J105" s="12">
        <v>494225524250.36298</v>
      </c>
      <c r="K105" s="12">
        <v>504434064645.33002</v>
      </c>
      <c r="L105" s="12">
        <v>524205955523.67902</v>
      </c>
      <c r="M105" s="12">
        <v>550681586258.12598</v>
      </c>
      <c r="N105" s="12">
        <v>612292516038.50098</v>
      </c>
      <c r="O105" s="12">
        <v>675448041803.89502</v>
      </c>
      <c r="P105" s="12">
        <v>722469702613.85303</v>
      </c>
      <c r="Q105" s="12">
        <v>803649747515.70203</v>
      </c>
      <c r="R105" s="12">
        <v>1000122054507.53</v>
      </c>
      <c r="S105" s="12">
        <v>1251783970090.55</v>
      </c>
      <c r="T105" s="12">
        <v>1398158255496.5701</v>
      </c>
      <c r="U105" s="12">
        <v>1495897689345.76</v>
      </c>
      <c r="V105" s="12">
        <v>1685127542009.54</v>
      </c>
      <c r="W105" s="12">
        <v>1942137882998.99</v>
      </c>
      <c r="X105" s="12">
        <v>2352338629115.6099</v>
      </c>
      <c r="Y105" s="12">
        <v>2868498046437.8901</v>
      </c>
      <c r="Z105" s="12">
        <v>3199801118633.9702</v>
      </c>
      <c r="AA105" s="12">
        <v>3066739452700.8799</v>
      </c>
      <c r="AB105" s="12">
        <v>3047534488855.7598</v>
      </c>
      <c r="AC105" s="12">
        <v>3093550967388.8999</v>
      </c>
      <c r="AD105" s="12">
        <v>3093468986523.3599</v>
      </c>
      <c r="AE105" s="12">
        <v>3157279068442.5801</v>
      </c>
      <c r="AF105" s="12">
        <v>3322412961926.1699</v>
      </c>
      <c r="AG105" s="12">
        <v>3573012139185.3198</v>
      </c>
      <c r="AH105" s="12">
        <v>3610766049055.1001</v>
      </c>
      <c r="AI105" s="12">
        <v>4035819653745.3701</v>
      </c>
      <c r="AJ105" s="12">
        <v>3947475225851.8599</v>
      </c>
      <c r="AK105" s="12">
        <v>4128966932629.8799</v>
      </c>
      <c r="AL105" s="12">
        <v>4577142185551.0303</v>
      </c>
      <c r="AM105" s="12">
        <v>4783054948910.3496</v>
      </c>
      <c r="AN105" s="12">
        <v>5429300185942.0596</v>
      </c>
      <c r="AO105" s="12">
        <v>5961127850167.8203</v>
      </c>
      <c r="AP105" s="12">
        <v>6315972560064.0801</v>
      </c>
      <c r="AQ105" s="12">
        <v>6191845915947.0801</v>
      </c>
      <c r="AR105" s="12">
        <v>5898575034869.0996</v>
      </c>
      <c r="AS105" s="12">
        <v>6445790803222.2402</v>
      </c>
      <c r="AT105" s="12">
        <v>6523918343086.2695</v>
      </c>
      <c r="AU105" s="12">
        <v>6654345341298.7002</v>
      </c>
      <c r="AV105" s="12">
        <v>7471199861636.4199</v>
      </c>
      <c r="AW105" s="12">
        <v>8885338120715.8203</v>
      </c>
      <c r="AX105" s="12">
        <v>10593545809142.801</v>
      </c>
      <c r="AY105" s="12">
        <v>12565509378507.9</v>
      </c>
      <c r="AZ105" s="12">
        <v>15527374911170.301</v>
      </c>
      <c r="BA105" s="12">
        <v>18615305103832.801</v>
      </c>
      <c r="BB105" s="12">
        <v>18068812633185</v>
      </c>
      <c r="BC105" s="12">
        <v>21866057259362.301</v>
      </c>
      <c r="BD105" s="12">
        <v>25573606149321.5</v>
      </c>
      <c r="BE105" s="12">
        <v>27166851229539.5</v>
      </c>
      <c r="BF105" s="12">
        <v>28716940656806.5</v>
      </c>
      <c r="BG105" s="12">
        <v>29769231186649.301</v>
      </c>
      <c r="BH105" s="12">
        <v>27962187319363.301</v>
      </c>
      <c r="BI105" s="12">
        <v>28144914620871</v>
      </c>
      <c r="BJ105" s="12">
        <v>30934202387471.199</v>
      </c>
      <c r="BK105" s="12">
        <v>32938136046152.301</v>
      </c>
      <c r="BL105" s="12">
        <v>33691655159953.398</v>
      </c>
      <c r="BM105" s="12">
        <v>32484256023838.5</v>
      </c>
      <c r="BN105" s="12">
        <v>38289419290322.898</v>
      </c>
      <c r="BO105" s="12">
        <v>40573962163610.297</v>
      </c>
    </row>
    <row r="106" spans="1:67" x14ac:dyDescent="0.2">
      <c r="A106" s="12" t="s">
        <v>1027</v>
      </c>
      <c r="B106" s="12" t="s">
        <v>1028</v>
      </c>
      <c r="C106" s="12" t="s">
        <v>978</v>
      </c>
      <c r="D106" s="12" t="s">
        <v>979</v>
      </c>
      <c r="E106" s="12">
        <v>36336364788.017899</v>
      </c>
      <c r="F106" s="12">
        <v>38921905620.469902</v>
      </c>
      <c r="G106" s="12">
        <v>41209835040.789497</v>
      </c>
      <c r="H106" s="12">
        <v>43301349535.679802</v>
      </c>
      <c r="I106" s="12">
        <v>46332373824.9291</v>
      </c>
      <c r="J106" s="12">
        <v>51171699794.908096</v>
      </c>
      <c r="K106" s="12">
        <v>55259720905.815498</v>
      </c>
      <c r="L106" s="12">
        <v>57356916949.912598</v>
      </c>
      <c r="M106" s="12">
        <v>59782469218.100098</v>
      </c>
      <c r="N106" s="12">
        <v>66290071402.741302</v>
      </c>
      <c r="O106" s="12">
        <v>78292819147.721298</v>
      </c>
      <c r="P106" s="12">
        <v>77616445592.466003</v>
      </c>
      <c r="Q106" s="12">
        <v>80625691121.741104</v>
      </c>
      <c r="R106" s="12">
        <v>92467611143.9879</v>
      </c>
      <c r="S106" s="12">
        <v>124489039185.448</v>
      </c>
      <c r="T106" s="12">
        <v>149919506150.52802</v>
      </c>
      <c r="U106" s="12">
        <v>156728322846.33401</v>
      </c>
      <c r="V106" s="12">
        <v>168425741543.19699</v>
      </c>
      <c r="W106" s="12">
        <v>189817018157.01999</v>
      </c>
      <c r="X106" s="12">
        <v>225294594450.66501</v>
      </c>
      <c r="Y106" s="12">
        <v>273364442414.435</v>
      </c>
      <c r="Z106" s="12">
        <v>411326719964.71503</v>
      </c>
      <c r="AA106" s="12">
        <v>385019854174.22601</v>
      </c>
      <c r="AB106" s="12">
        <v>323806133768.39801</v>
      </c>
      <c r="AC106" s="12">
        <v>303043661998.93402</v>
      </c>
      <c r="AD106" s="12">
        <v>306888079381.901</v>
      </c>
      <c r="AE106" s="12">
        <v>311762284781.823</v>
      </c>
      <c r="AF106" s="12">
        <v>334537035360.05402</v>
      </c>
      <c r="AG106" s="12">
        <v>333814615118.62097</v>
      </c>
      <c r="AH106" s="12">
        <v>337913492684.45502</v>
      </c>
      <c r="AI106" s="12">
        <v>384704957960.117</v>
      </c>
      <c r="AJ106" s="12">
        <v>417478446222.164</v>
      </c>
      <c r="AK106" s="12">
        <v>377864573156.00299</v>
      </c>
      <c r="AL106" s="12">
        <v>399088750622.33197</v>
      </c>
      <c r="AM106" s="12">
        <v>424044189443.46802</v>
      </c>
      <c r="AN106" s="12">
        <v>513328099991.96301</v>
      </c>
      <c r="AO106" s="12">
        <v>594262451699.84094</v>
      </c>
      <c r="AP106" s="12">
        <v>623460091600.495</v>
      </c>
      <c r="AQ106" s="12">
        <v>653854870227.87097</v>
      </c>
      <c r="AR106" s="12">
        <v>501477364137.28101</v>
      </c>
      <c r="AS106" s="12">
        <v>572667500511.09998</v>
      </c>
      <c r="AT106" s="12">
        <v>573262021394.92395</v>
      </c>
      <c r="AU106" s="12">
        <v>615668501352.547</v>
      </c>
      <c r="AV106" s="12">
        <v>688276172112.5</v>
      </c>
      <c r="AW106" s="12">
        <v>805847760142.10095</v>
      </c>
      <c r="AX106" s="12">
        <v>938815497295.54797</v>
      </c>
      <c r="AY106" s="12">
        <v>1118039424078.3999</v>
      </c>
      <c r="AZ106" s="12">
        <v>1312262524438.3701</v>
      </c>
      <c r="BA106" s="12">
        <v>1563780465368.6001</v>
      </c>
      <c r="BB106" s="12">
        <v>1537765712213.97</v>
      </c>
      <c r="BC106" s="12">
        <v>1768564310678.95</v>
      </c>
      <c r="BD106" s="12">
        <v>1782672998511.1899</v>
      </c>
      <c r="BE106" s="12">
        <v>1878156584931.25</v>
      </c>
      <c r="BF106" s="12">
        <v>2043328317790.6499</v>
      </c>
      <c r="BG106" s="12">
        <v>2201226271708.4502</v>
      </c>
      <c r="BH106" s="12">
        <v>2141175183734.1599</v>
      </c>
      <c r="BI106" s="12">
        <v>2134342251470.6799</v>
      </c>
      <c r="BJ106" s="12">
        <v>2208376809519.3501</v>
      </c>
      <c r="BK106" s="12">
        <v>2377791328237.5</v>
      </c>
      <c r="BL106" s="12">
        <v>2468157129040.3901</v>
      </c>
      <c r="BM106" s="12">
        <v>2416944259567.1401</v>
      </c>
      <c r="BN106" s="12">
        <v>2630708113514.5898</v>
      </c>
      <c r="BO106" s="12">
        <v>2822821779328.8701</v>
      </c>
    </row>
    <row r="107" spans="1:67" x14ac:dyDescent="0.2">
      <c r="A107" s="12" t="s">
        <v>1029</v>
      </c>
      <c r="B107" s="12" t="s">
        <v>1030</v>
      </c>
      <c r="C107" s="12" t="s">
        <v>978</v>
      </c>
      <c r="D107" s="12" t="s">
        <v>979</v>
      </c>
      <c r="E107" s="12">
        <v>12062060259.0308</v>
      </c>
      <c r="F107" s="12">
        <v>12908490535.332899</v>
      </c>
      <c r="G107" s="12">
        <v>13804264743.5784</v>
      </c>
      <c r="H107" s="12">
        <v>14609998946.4359</v>
      </c>
      <c r="I107" s="12">
        <v>15943425914.9181</v>
      </c>
      <c r="J107" s="12">
        <v>17311888391.693501</v>
      </c>
      <c r="K107" s="12">
        <v>18831144035.807301</v>
      </c>
      <c r="L107" s="12">
        <v>18927886745.9412</v>
      </c>
      <c r="M107" s="12">
        <v>19979704286.4594</v>
      </c>
      <c r="N107" s="12">
        <v>22857671325.329601</v>
      </c>
      <c r="O107" s="12">
        <v>31420461400.7547</v>
      </c>
      <c r="P107" s="12">
        <v>29181222030.5924</v>
      </c>
      <c r="Q107" s="12">
        <v>32766077738.016998</v>
      </c>
      <c r="R107" s="12">
        <v>34955385152.551598</v>
      </c>
      <c r="S107" s="12">
        <v>50389609913.451302</v>
      </c>
      <c r="T107" s="12">
        <v>57963377028.386299</v>
      </c>
      <c r="U107" s="12">
        <v>69949819917.651596</v>
      </c>
      <c r="V107" s="12">
        <v>73746260968.010193</v>
      </c>
      <c r="W107" s="12">
        <v>80172332918.695801</v>
      </c>
      <c r="X107" s="12">
        <v>98413393345.618301</v>
      </c>
      <c r="Y107" s="12">
        <v>126245554510.935</v>
      </c>
      <c r="Z107" s="12">
        <v>243007316653.65601</v>
      </c>
      <c r="AA107" s="12">
        <v>222104110072.69101</v>
      </c>
      <c r="AB107" s="12">
        <v>168541349430.496</v>
      </c>
      <c r="AC107" s="12">
        <v>144636750328.83499</v>
      </c>
      <c r="AD107" s="12">
        <v>145297277751.84</v>
      </c>
      <c r="AE107" s="12">
        <v>131000150285.823</v>
      </c>
      <c r="AF107" s="12">
        <v>134022865355.856</v>
      </c>
      <c r="AG107" s="12">
        <v>137601818399.492</v>
      </c>
      <c r="AH107" s="12">
        <v>132627241311.299</v>
      </c>
      <c r="AI107" s="12">
        <v>146279086047.285</v>
      </c>
      <c r="AJ107" s="12">
        <v>157325761051.64899</v>
      </c>
      <c r="AK107" s="12">
        <v>151862384792.49899</v>
      </c>
      <c r="AL107" s="12">
        <v>161704299771.58301</v>
      </c>
      <c r="AM107" s="12">
        <v>179925426234.56601</v>
      </c>
      <c r="AN107" s="12">
        <v>253248829885.23599</v>
      </c>
      <c r="AO107" s="12">
        <v>307301651328.22699</v>
      </c>
      <c r="AP107" s="12">
        <v>322680919144.55499</v>
      </c>
      <c r="AQ107" s="12">
        <v>337878207132.53302</v>
      </c>
      <c r="AR107" s="12">
        <v>181301356226.561</v>
      </c>
      <c r="AS107" s="12">
        <v>223926346786.42401</v>
      </c>
      <c r="AT107" s="12">
        <v>223607794993.703</v>
      </c>
      <c r="AU107" s="12">
        <v>245790557167.04401</v>
      </c>
      <c r="AV107" s="12">
        <v>276922900686.39899</v>
      </c>
      <c r="AW107" s="12">
        <v>335978761902.38702</v>
      </c>
      <c r="AX107" s="12">
        <v>397895729455.57202</v>
      </c>
      <c r="AY107" s="12">
        <v>493902796512.37097</v>
      </c>
      <c r="AZ107" s="12">
        <v>573019713708.31995</v>
      </c>
      <c r="BA107" s="12">
        <v>672162101824.38794</v>
      </c>
      <c r="BB107" s="12">
        <v>626150635593.91895</v>
      </c>
      <c r="BC107" s="12">
        <v>735134171647.77295</v>
      </c>
      <c r="BD107" s="12">
        <v>840905605485.16504</v>
      </c>
      <c r="BE107" s="12">
        <v>934909812511.599</v>
      </c>
      <c r="BF107" s="12">
        <v>1017046114859.84</v>
      </c>
      <c r="BG107" s="12">
        <v>1104016218004.0801</v>
      </c>
      <c r="BH107" s="12">
        <v>1047797673744.04</v>
      </c>
      <c r="BI107" s="12">
        <v>978035938194.53601</v>
      </c>
      <c r="BJ107" s="12">
        <v>960766047737.05603</v>
      </c>
      <c r="BK107" s="12">
        <v>1049969368721.42</v>
      </c>
      <c r="BL107" s="12">
        <v>1070881784785.96</v>
      </c>
      <c r="BM107" s="12">
        <v>1003544540837.38</v>
      </c>
      <c r="BN107" s="12">
        <v>1097399972030.71</v>
      </c>
      <c r="BO107" s="12">
        <v>1175091814528.1201</v>
      </c>
    </row>
    <row r="108" spans="1:67" x14ac:dyDescent="0.2">
      <c r="A108" s="12" t="s">
        <v>15</v>
      </c>
      <c r="B108" s="12" t="s">
        <v>14</v>
      </c>
      <c r="C108" s="12" t="s">
        <v>978</v>
      </c>
      <c r="D108" s="12" t="s">
        <v>979</v>
      </c>
      <c r="L108" s="12">
        <v>5667756627.9209299</v>
      </c>
      <c r="M108" s="12">
        <v>7076465299.81141</v>
      </c>
      <c r="N108" s="12">
        <v>8337423312.88344</v>
      </c>
      <c r="O108" s="12">
        <v>9150684931.5068493</v>
      </c>
      <c r="P108" s="12">
        <v>9333536369.9456692</v>
      </c>
      <c r="Q108" s="12">
        <v>10997590361.445801</v>
      </c>
      <c r="R108" s="12">
        <v>16273253012.048201</v>
      </c>
      <c r="S108" s="12">
        <v>25802409638.554199</v>
      </c>
      <c r="T108" s="12">
        <v>30463855421.686699</v>
      </c>
      <c r="U108" s="12">
        <v>37269156626.505997</v>
      </c>
      <c r="V108" s="12">
        <v>45808915662.650597</v>
      </c>
      <c r="W108" s="12">
        <v>51455719075.825401</v>
      </c>
      <c r="X108" s="12">
        <v>51400186342.888901</v>
      </c>
      <c r="Y108" s="12">
        <v>72482337397.443893</v>
      </c>
      <c r="Z108" s="12">
        <v>85518233419.047897</v>
      </c>
      <c r="AA108" s="12">
        <v>90158449294.992096</v>
      </c>
      <c r="AB108" s="12">
        <v>81052283383.7155</v>
      </c>
      <c r="AC108" s="12">
        <v>84853700027.651001</v>
      </c>
      <c r="AD108" s="12">
        <v>85289488375.443497</v>
      </c>
      <c r="AE108" s="12">
        <v>79954072544.527893</v>
      </c>
      <c r="AF108" s="12">
        <v>75929617557.752106</v>
      </c>
      <c r="AG108" s="12">
        <v>84300174485.797302</v>
      </c>
      <c r="AH108" s="12">
        <v>94451427876.662796</v>
      </c>
      <c r="AI108" s="12">
        <v>106140727333.636</v>
      </c>
      <c r="AJ108" s="12">
        <v>116621996217.133</v>
      </c>
      <c r="AK108" s="12">
        <v>128026966579.964</v>
      </c>
      <c r="AL108" s="12">
        <v>158006700301.53299</v>
      </c>
      <c r="AM108" s="12">
        <v>176892143931.505</v>
      </c>
      <c r="AN108" s="12">
        <v>202132028723.11499</v>
      </c>
      <c r="AO108" s="12">
        <v>227369679374.97299</v>
      </c>
      <c r="AP108" s="12">
        <v>215748998609.63501</v>
      </c>
      <c r="AQ108" s="12">
        <v>95445547872.714996</v>
      </c>
      <c r="AR108" s="12">
        <v>140001351215.46201</v>
      </c>
      <c r="AS108" s="12">
        <v>165021012077.81</v>
      </c>
      <c r="AT108" s="12">
        <v>160446947784.909</v>
      </c>
      <c r="AU108" s="12">
        <v>195660611165.18301</v>
      </c>
      <c r="AV108" s="12">
        <v>234772463823.80801</v>
      </c>
      <c r="AW108" s="12">
        <v>256836875295.452</v>
      </c>
      <c r="AX108" s="12">
        <v>285868619196.08502</v>
      </c>
      <c r="AY108" s="12">
        <v>364570515618.35699</v>
      </c>
      <c r="AZ108" s="12">
        <v>432216737774.86102</v>
      </c>
      <c r="BA108" s="12">
        <v>510228634990.59802</v>
      </c>
      <c r="BB108" s="12">
        <v>539580085616.492</v>
      </c>
      <c r="BC108" s="12">
        <v>755094157621.93604</v>
      </c>
      <c r="BD108" s="12">
        <v>892969104563.17102</v>
      </c>
      <c r="BE108" s="12">
        <v>917869913332.64905</v>
      </c>
      <c r="BF108" s="12">
        <v>912524136718.01794</v>
      </c>
      <c r="BG108" s="12">
        <v>890814755533.53699</v>
      </c>
      <c r="BH108" s="12">
        <v>860854232686.21399</v>
      </c>
      <c r="BI108" s="12">
        <v>931877364037.698</v>
      </c>
      <c r="BJ108" s="12">
        <v>1015618744159.73</v>
      </c>
      <c r="BK108" s="12">
        <v>1042271532988.63</v>
      </c>
      <c r="BL108" s="12">
        <v>1119099871350.2</v>
      </c>
      <c r="BM108" s="12">
        <v>1059054842698.48</v>
      </c>
      <c r="BN108" s="12">
        <v>1186505455736.54</v>
      </c>
      <c r="BO108" s="12">
        <v>1319100220407.72</v>
      </c>
    </row>
    <row r="109" spans="1:67" x14ac:dyDescent="0.2">
      <c r="A109" s="12" t="s">
        <v>1031</v>
      </c>
      <c r="B109" s="12" t="s">
        <v>1032</v>
      </c>
      <c r="C109" s="12" t="s">
        <v>978</v>
      </c>
      <c r="D109" s="12" t="s">
        <v>979</v>
      </c>
      <c r="E109" s="12">
        <v>25774556773.0798</v>
      </c>
      <c r="F109" s="12">
        <v>27624182442.714199</v>
      </c>
      <c r="G109" s="12">
        <v>29069039402.272701</v>
      </c>
      <c r="H109" s="12">
        <v>30407024170.277699</v>
      </c>
      <c r="I109" s="12">
        <v>32129473242.256802</v>
      </c>
      <c r="J109" s="12">
        <v>35873097191.703499</v>
      </c>
      <c r="K109" s="12">
        <v>38560944825.186096</v>
      </c>
      <c r="L109" s="12">
        <v>40830378440.744698</v>
      </c>
      <c r="M109" s="12">
        <v>42232612244.7286</v>
      </c>
      <c r="N109" s="12">
        <v>45922432866.4188</v>
      </c>
      <c r="O109" s="12">
        <v>48522523919.508499</v>
      </c>
      <c r="P109" s="12">
        <v>50638283534.258598</v>
      </c>
      <c r="Q109" s="12">
        <v>49445408115.685799</v>
      </c>
      <c r="R109" s="12">
        <v>60082228067.690804</v>
      </c>
      <c r="S109" s="12">
        <v>76605928706.947403</v>
      </c>
      <c r="T109" s="12">
        <v>95792307266.755402</v>
      </c>
      <c r="U109" s="12">
        <v>87982729176.374207</v>
      </c>
      <c r="V109" s="12">
        <v>96400862290.326904</v>
      </c>
      <c r="W109" s="12">
        <v>112473498976.295</v>
      </c>
      <c r="X109" s="12">
        <v>129254315431.60001</v>
      </c>
      <c r="Y109" s="12">
        <v>147944219833.94199</v>
      </c>
      <c r="Z109" s="12">
        <v>154866382301.89999</v>
      </c>
      <c r="AA109" s="12">
        <v>151575189289.97299</v>
      </c>
      <c r="AB109" s="12">
        <v>149964942318.84201</v>
      </c>
      <c r="AC109" s="12">
        <v>156488090333.228</v>
      </c>
      <c r="AD109" s="12">
        <v>159791896719.41299</v>
      </c>
      <c r="AE109" s="12">
        <v>180974439831.93201</v>
      </c>
      <c r="AF109" s="12">
        <v>201441776100.01801</v>
      </c>
      <c r="AG109" s="12">
        <v>196734587061.754</v>
      </c>
      <c r="AH109" s="12">
        <v>206175768344.13901</v>
      </c>
      <c r="AI109" s="12">
        <v>239694107284.34201</v>
      </c>
      <c r="AJ109" s="12">
        <v>261696720551.65201</v>
      </c>
      <c r="AK109" s="12">
        <v>226449478487.40601</v>
      </c>
      <c r="AL109" s="12">
        <v>237787843059.65399</v>
      </c>
      <c r="AM109" s="12">
        <v>244215583590.405</v>
      </c>
      <c r="AN109" s="12">
        <v>258746501084.24301</v>
      </c>
      <c r="AO109" s="12">
        <v>284840023990.09003</v>
      </c>
      <c r="AP109" s="12">
        <v>298542710306.26703</v>
      </c>
      <c r="AQ109" s="12">
        <v>313653016603.45398</v>
      </c>
      <c r="AR109" s="12">
        <v>321578467554.16998</v>
      </c>
      <c r="AS109" s="12">
        <v>349651779085.85498</v>
      </c>
      <c r="AT109" s="12">
        <v>350587789766.16101</v>
      </c>
      <c r="AU109" s="12">
        <v>370656718883.36603</v>
      </c>
      <c r="AV109" s="12">
        <v>412162442340.45203</v>
      </c>
      <c r="AW109" s="12">
        <v>470479822751.58099</v>
      </c>
      <c r="AX109" s="12">
        <v>541445815054.32001</v>
      </c>
      <c r="AY109" s="12">
        <v>624188955150.51501</v>
      </c>
      <c r="AZ109" s="12">
        <v>739495619366.59497</v>
      </c>
      <c r="BA109" s="12">
        <v>892225695737.18604</v>
      </c>
      <c r="BB109" s="12">
        <v>912411498350.06104</v>
      </c>
      <c r="BC109" s="12">
        <v>1034260269890.97</v>
      </c>
      <c r="BD109" s="12">
        <v>942032769827.46204</v>
      </c>
      <c r="BE109" s="12">
        <v>943246336247.13501</v>
      </c>
      <c r="BF109" s="12">
        <v>1026282202930.8101</v>
      </c>
      <c r="BG109" s="12">
        <v>1097210053704.38</v>
      </c>
      <c r="BH109" s="12">
        <v>1093377509990.13</v>
      </c>
      <c r="BI109" s="12">
        <v>1156306313276.1499</v>
      </c>
      <c r="BJ109" s="12">
        <v>1247610761782.3</v>
      </c>
      <c r="BK109" s="12">
        <v>1327821959516.0801</v>
      </c>
      <c r="BL109" s="12">
        <v>1397275344254.4299</v>
      </c>
      <c r="BM109" s="12">
        <v>1413399718729.76</v>
      </c>
      <c r="BN109" s="12">
        <v>1533308141483.8899</v>
      </c>
      <c r="BO109" s="12">
        <v>1647744371553.0801</v>
      </c>
    </row>
    <row r="110" spans="1:67" x14ac:dyDescent="0.2">
      <c r="A110" s="12" t="s">
        <v>931</v>
      </c>
      <c r="B110" s="12" t="s">
        <v>1033</v>
      </c>
      <c r="C110" s="12" t="s">
        <v>978</v>
      </c>
      <c r="D110" s="12" t="s">
        <v>979</v>
      </c>
      <c r="AN110" s="12">
        <v>914762873.68915296</v>
      </c>
      <c r="AO110" s="12">
        <v>1023005862.7792701</v>
      </c>
      <c r="AP110" s="12">
        <v>1180968165.4086001</v>
      </c>
      <c r="AQ110" s="12">
        <v>1382605389.32055</v>
      </c>
      <c r="AR110" s="12">
        <v>1567402513.69642</v>
      </c>
      <c r="AS110" s="12">
        <v>1563667799.6157801</v>
      </c>
      <c r="AT110" s="12">
        <v>1659131243.7383699</v>
      </c>
      <c r="AU110" s="12">
        <v>1947332921.74718</v>
      </c>
      <c r="AV110" s="12">
        <v>2328658227.8481002</v>
      </c>
      <c r="AW110" s="12">
        <v>2822358473.1698298</v>
      </c>
      <c r="AX110" s="12">
        <v>3032409189.1371298</v>
      </c>
      <c r="AY110" s="12">
        <v>3422735301.6730099</v>
      </c>
      <c r="AZ110" s="12">
        <v>4466353634.7967796</v>
      </c>
      <c r="BA110" s="12">
        <v>5928788780.5539398</v>
      </c>
      <c r="BB110" s="12">
        <v>5486918994.7592201</v>
      </c>
      <c r="BC110" s="12">
        <v>5920366628.3332901</v>
      </c>
      <c r="BD110" s="12">
        <v>6565668780.7350502</v>
      </c>
      <c r="BE110" s="12">
        <v>6690228489.39991</v>
      </c>
      <c r="BF110" s="12">
        <v>7001180245.8310299</v>
      </c>
      <c r="BG110" s="12">
        <v>7708459144.9826002</v>
      </c>
      <c r="BH110" s="12">
        <v>7084795708.2840595</v>
      </c>
      <c r="BI110" s="12">
        <v>6846373276.5937204</v>
      </c>
      <c r="BJ110" s="12">
        <v>6979791187.12712</v>
      </c>
      <c r="BK110" s="12">
        <v>7491654051.0785799</v>
      </c>
      <c r="BL110" s="12">
        <v>7314966839.12782</v>
      </c>
      <c r="BM110" s="12">
        <v>6684229268.5054502</v>
      </c>
    </row>
    <row r="111" spans="1:67" x14ac:dyDescent="0.2">
      <c r="A111" s="12" t="s">
        <v>131</v>
      </c>
      <c r="B111" s="12" t="s">
        <v>130</v>
      </c>
      <c r="C111" s="12" t="s">
        <v>978</v>
      </c>
      <c r="D111" s="12" t="s">
        <v>979</v>
      </c>
      <c r="E111" s="12">
        <v>37029883876.183899</v>
      </c>
      <c r="F111" s="12">
        <v>39232435784.035797</v>
      </c>
      <c r="G111" s="12">
        <v>42161481858.081902</v>
      </c>
      <c r="H111" s="12">
        <v>48421923459.123497</v>
      </c>
      <c r="I111" s="12">
        <v>56480289940.989899</v>
      </c>
      <c r="J111" s="12">
        <v>59554854575.808502</v>
      </c>
      <c r="K111" s="12">
        <v>45865462034.285698</v>
      </c>
      <c r="L111" s="12">
        <v>50134942204</v>
      </c>
      <c r="M111" s="12">
        <v>53085455870.666702</v>
      </c>
      <c r="N111" s="12">
        <v>58447995017.333298</v>
      </c>
      <c r="O111" s="12">
        <v>62422483054.666702</v>
      </c>
      <c r="P111" s="12">
        <v>67351404351.833</v>
      </c>
      <c r="Q111" s="12">
        <v>71463193831.009201</v>
      </c>
      <c r="R111" s="12">
        <v>85515269585.399994</v>
      </c>
      <c r="S111" s="12">
        <v>99525899116.054001</v>
      </c>
      <c r="T111" s="12">
        <v>98472796456.884003</v>
      </c>
      <c r="U111" s="12">
        <v>102717164466.397</v>
      </c>
      <c r="V111" s="12">
        <v>121486641441.30901</v>
      </c>
      <c r="W111" s="12">
        <v>137300295313.3</v>
      </c>
      <c r="X111" s="12">
        <v>152991653793.76999</v>
      </c>
      <c r="Y111" s="12">
        <v>186325345086.66101</v>
      </c>
      <c r="Z111" s="12">
        <v>193491368445.573</v>
      </c>
      <c r="AA111" s="12">
        <v>200715624830.90201</v>
      </c>
      <c r="AB111" s="12">
        <v>218262146413.15799</v>
      </c>
      <c r="AC111" s="12">
        <v>212157645177.65201</v>
      </c>
      <c r="AD111" s="12">
        <v>232511554840.37201</v>
      </c>
      <c r="AE111" s="12">
        <v>248985994040.59</v>
      </c>
      <c r="AF111" s="12">
        <v>279033584092.22302</v>
      </c>
      <c r="AG111" s="12">
        <v>296589670895.93201</v>
      </c>
      <c r="AH111" s="12">
        <v>296042052944.65997</v>
      </c>
      <c r="AI111" s="12">
        <v>320979026420.03497</v>
      </c>
      <c r="AJ111" s="12">
        <v>270105341879.22601</v>
      </c>
      <c r="AK111" s="12">
        <v>288208070278.013</v>
      </c>
      <c r="AL111" s="12">
        <v>279295648982.52899</v>
      </c>
      <c r="AM111" s="12">
        <v>327275583530.00403</v>
      </c>
      <c r="AN111" s="12">
        <v>360281909643.48901</v>
      </c>
      <c r="AO111" s="12">
        <v>392896866204.51599</v>
      </c>
      <c r="AP111" s="12">
        <v>415867563592.82898</v>
      </c>
      <c r="AQ111" s="12">
        <v>421351317224.94098</v>
      </c>
      <c r="AR111" s="12">
        <v>458820417337.80701</v>
      </c>
      <c r="AS111" s="12">
        <v>468394937255.80298</v>
      </c>
      <c r="AT111" s="12">
        <v>485441014538.638</v>
      </c>
      <c r="AU111" s="12">
        <v>514937948874.21198</v>
      </c>
      <c r="AV111" s="12">
        <v>607699285436.04797</v>
      </c>
      <c r="AW111" s="12">
        <v>709148514815.78699</v>
      </c>
      <c r="AX111" s="12">
        <v>820381595510.64294</v>
      </c>
      <c r="AY111" s="12">
        <v>940259888794.35095</v>
      </c>
      <c r="AZ111" s="12">
        <v>1216736438842.4099</v>
      </c>
      <c r="BA111" s="12">
        <v>1198895139014.6201</v>
      </c>
      <c r="BB111" s="12">
        <v>1341888016984.3601</v>
      </c>
      <c r="BC111" s="12">
        <v>1675615519489.3501</v>
      </c>
      <c r="BD111" s="12">
        <v>1823051829900.8101</v>
      </c>
      <c r="BE111" s="12">
        <v>1827637590787.1899</v>
      </c>
      <c r="BF111" s="12">
        <v>1856721507681.0801</v>
      </c>
      <c r="BG111" s="12">
        <v>2039126479228.1101</v>
      </c>
      <c r="BH111" s="12">
        <v>2103588360066.3201</v>
      </c>
      <c r="BI111" s="12">
        <v>2294796885682.5498</v>
      </c>
      <c r="BJ111" s="12">
        <v>2651474262735.2798</v>
      </c>
      <c r="BK111" s="12">
        <v>2702929641707.3799</v>
      </c>
      <c r="BL111" s="12">
        <v>2835606256616.0298</v>
      </c>
      <c r="BM111" s="12">
        <v>2671595405986.8599</v>
      </c>
      <c r="BN111" s="12">
        <v>3150306839142.1299</v>
      </c>
      <c r="BO111" s="12">
        <v>3416645826052.8701</v>
      </c>
    </row>
    <row r="112" spans="1:67" x14ac:dyDescent="0.2">
      <c r="A112" s="12" t="s">
        <v>1034</v>
      </c>
      <c r="B112" s="12" t="s">
        <v>1035</v>
      </c>
      <c r="C112" s="12" t="s">
        <v>978</v>
      </c>
      <c r="D112" s="12" t="s">
        <v>979</v>
      </c>
    </row>
    <row r="113" spans="1:67" x14ac:dyDescent="0.2">
      <c r="A113" s="12" t="s">
        <v>41</v>
      </c>
      <c r="B113" s="12" t="s">
        <v>40</v>
      </c>
      <c r="C113" s="12" t="s">
        <v>978</v>
      </c>
      <c r="D113" s="12" t="s">
        <v>979</v>
      </c>
      <c r="E113" s="12">
        <v>1939329775.4373901</v>
      </c>
      <c r="F113" s="12">
        <v>2088012282.3566699</v>
      </c>
      <c r="G113" s="12">
        <v>2260349684.0862498</v>
      </c>
      <c r="H113" s="12">
        <v>2430843768.4455299</v>
      </c>
      <c r="I113" s="12">
        <v>2766608945.8740201</v>
      </c>
      <c r="J113" s="12">
        <v>2945704142.9976501</v>
      </c>
      <c r="K113" s="12">
        <v>3104034393.2316198</v>
      </c>
      <c r="L113" s="12">
        <v>3343636773.36759</v>
      </c>
      <c r="M113" s="12">
        <v>3278584478.3302302</v>
      </c>
      <c r="N113" s="12">
        <v>3787077343.7278299</v>
      </c>
      <c r="O113" s="12">
        <v>4395995085.9950895</v>
      </c>
      <c r="P113" s="12">
        <v>5098250287.4664602</v>
      </c>
      <c r="Q113" s="12">
        <v>6318060582.21873</v>
      </c>
      <c r="R113" s="12">
        <v>7481173065.7920103</v>
      </c>
      <c r="S113" s="12">
        <v>7896860614.9880304</v>
      </c>
      <c r="T113" s="12">
        <v>9483808362.3693409</v>
      </c>
      <c r="U113" s="12">
        <v>9453756014.7183704</v>
      </c>
      <c r="V113" s="12">
        <v>11248340431.377899</v>
      </c>
      <c r="W113" s="12">
        <v>14647996073.693701</v>
      </c>
      <c r="X113" s="12">
        <v>18319334300.451302</v>
      </c>
      <c r="Y113" s="12">
        <v>21747855640.071201</v>
      </c>
      <c r="Z113" s="12">
        <v>20670190138.167099</v>
      </c>
      <c r="AA113" s="12">
        <v>21474752962.2178</v>
      </c>
      <c r="AB113" s="12">
        <v>20766047763.531399</v>
      </c>
      <c r="AC113" s="12">
        <v>20106648454.840401</v>
      </c>
      <c r="AD113" s="12">
        <v>21270013325.560101</v>
      </c>
      <c r="AE113" s="12">
        <v>28714571852.4799</v>
      </c>
      <c r="AF113" s="12">
        <v>33920518492.509399</v>
      </c>
      <c r="AG113" s="12">
        <v>37772896220.755898</v>
      </c>
      <c r="AH113" s="12">
        <v>39238392677.754204</v>
      </c>
      <c r="AI113" s="12">
        <v>49305632408.492897</v>
      </c>
      <c r="AJ113" s="12">
        <v>49787501584.484703</v>
      </c>
      <c r="AK113" s="12">
        <v>55918538121.398903</v>
      </c>
      <c r="AL113" s="12">
        <v>52417477613.676003</v>
      </c>
      <c r="AM113" s="12">
        <v>57097656065.959999</v>
      </c>
      <c r="AN113" s="12">
        <v>69139823232.323196</v>
      </c>
      <c r="AO113" s="12">
        <v>75790786290.322601</v>
      </c>
      <c r="AP113" s="12">
        <v>82856648758.357193</v>
      </c>
      <c r="AQ113" s="12">
        <v>90199410115.509705</v>
      </c>
      <c r="AR113" s="12">
        <v>98893958262.643799</v>
      </c>
      <c r="AS113" s="12">
        <v>100207610429.909</v>
      </c>
      <c r="AT113" s="12">
        <v>109346669229.69501</v>
      </c>
      <c r="AU113" s="12">
        <v>128596035288.401</v>
      </c>
      <c r="AV113" s="12">
        <v>164670771259.60199</v>
      </c>
      <c r="AW113" s="12">
        <v>194372115041.065</v>
      </c>
      <c r="AX113" s="12">
        <v>211876989655.90701</v>
      </c>
      <c r="AY113" s="12">
        <v>232180617162.27899</v>
      </c>
      <c r="AZ113" s="12">
        <v>270079279419.5</v>
      </c>
      <c r="BA113" s="12">
        <v>275447471451.06299</v>
      </c>
      <c r="BB113" s="12">
        <v>236443115853.69501</v>
      </c>
      <c r="BC113" s="12">
        <v>221913560882.367</v>
      </c>
      <c r="BD113" s="12">
        <v>239170638711.314</v>
      </c>
      <c r="BE113" s="12">
        <v>225118718207.15601</v>
      </c>
      <c r="BF113" s="12">
        <v>238112475390.79599</v>
      </c>
      <c r="BG113" s="12">
        <v>259681883575.70599</v>
      </c>
      <c r="BH113" s="12">
        <v>292364226871.75598</v>
      </c>
      <c r="BI113" s="12">
        <v>298559265006.39801</v>
      </c>
      <c r="BJ113" s="12">
        <v>337241811320.896</v>
      </c>
      <c r="BK113" s="12">
        <v>386693357874.05603</v>
      </c>
      <c r="BL113" s="12">
        <v>398933010007.35602</v>
      </c>
      <c r="BM113" s="12">
        <v>428608687830.23901</v>
      </c>
      <c r="BN113" s="12">
        <v>513391778882.85999</v>
      </c>
      <c r="BO113" s="12">
        <v>533140011838.276</v>
      </c>
    </row>
    <row r="114" spans="1:67" x14ac:dyDescent="0.2">
      <c r="A114" s="12" t="s">
        <v>211</v>
      </c>
      <c r="B114" s="12" t="s">
        <v>210</v>
      </c>
      <c r="C114" s="12" t="s">
        <v>978</v>
      </c>
      <c r="D114" s="12" t="s">
        <v>979</v>
      </c>
      <c r="E114" s="12">
        <v>4199134389.9036999</v>
      </c>
      <c r="F114" s="12">
        <v>4426949094.8402996</v>
      </c>
      <c r="G114" s="12">
        <v>4693566416.4834604</v>
      </c>
      <c r="H114" s="12">
        <v>4928628018.3875904</v>
      </c>
      <c r="I114" s="12">
        <v>5379845647.7013903</v>
      </c>
      <c r="J114" s="12">
        <v>6197319929.0403795</v>
      </c>
      <c r="K114" s="12">
        <v>6789938671.7509403</v>
      </c>
      <c r="L114" s="12">
        <v>7555383690.1599998</v>
      </c>
      <c r="M114" s="12">
        <v>8623172959.8980293</v>
      </c>
      <c r="N114" s="12">
        <v>9743089607.4958706</v>
      </c>
      <c r="O114" s="12">
        <v>10976245153.589399</v>
      </c>
      <c r="P114" s="12">
        <v>13731802833.036301</v>
      </c>
      <c r="Q114" s="12">
        <v>17153463263.108601</v>
      </c>
      <c r="R114" s="12">
        <v>27081698249.508301</v>
      </c>
      <c r="S114" s="12">
        <v>46209092072.138298</v>
      </c>
      <c r="T114" s="12">
        <v>51776222349.886902</v>
      </c>
      <c r="U114" s="12">
        <v>68055295080.753799</v>
      </c>
      <c r="V114" s="12">
        <v>80600122701.963196</v>
      </c>
      <c r="W114" s="12">
        <v>77994316621.4814</v>
      </c>
      <c r="X114" s="12">
        <v>90391877325.928497</v>
      </c>
      <c r="Y114" s="12">
        <v>94362275580.022903</v>
      </c>
      <c r="Z114" s="12">
        <v>100499312749.923</v>
      </c>
      <c r="AA114" s="12">
        <v>125948756439.485</v>
      </c>
      <c r="AB114" s="12">
        <v>156365156618.241</v>
      </c>
      <c r="AC114" s="12">
        <v>162276728619.51901</v>
      </c>
      <c r="AD114" s="12">
        <v>180183629599.68399</v>
      </c>
      <c r="AE114" s="12">
        <v>209094561833.48001</v>
      </c>
      <c r="AF114" s="12">
        <v>134009995923.16901</v>
      </c>
      <c r="AG114" s="12">
        <v>123057861333.908</v>
      </c>
      <c r="AH114" s="12">
        <v>120496362916.271</v>
      </c>
      <c r="AI114" s="12">
        <v>124813263926.22501</v>
      </c>
      <c r="AL114" s="12">
        <v>63743623231.231201</v>
      </c>
      <c r="AM114" s="12">
        <v>71841461172.236496</v>
      </c>
      <c r="AN114" s="12">
        <v>96419225744.992706</v>
      </c>
      <c r="AO114" s="12">
        <v>120403931883.34801</v>
      </c>
      <c r="AP114" s="12">
        <v>113919163421.479</v>
      </c>
      <c r="AQ114" s="12">
        <v>110276913362.44501</v>
      </c>
      <c r="AR114" s="12">
        <v>113848450088.686</v>
      </c>
      <c r="AS114" s="12">
        <v>109591707801.431</v>
      </c>
      <c r="AT114" s="12">
        <v>126878750295.58299</v>
      </c>
      <c r="AU114" s="12">
        <v>128626917504.39799</v>
      </c>
      <c r="AV114" s="12">
        <v>153544751396.211</v>
      </c>
      <c r="AW114" s="12">
        <v>190043433963.866</v>
      </c>
      <c r="AX114" s="12">
        <v>226452138295.72601</v>
      </c>
      <c r="AY114" s="12">
        <v>266298911663.707</v>
      </c>
      <c r="AZ114" s="12">
        <v>349881601462.43903</v>
      </c>
      <c r="BA114" s="12">
        <v>412336172443.79498</v>
      </c>
      <c r="BB114" s="12">
        <v>416397025729.89801</v>
      </c>
      <c r="BC114" s="12">
        <v>486807616876.69598</v>
      </c>
      <c r="BD114" s="12">
        <v>626133112195.92798</v>
      </c>
      <c r="BE114" s="12">
        <v>644035512181.48096</v>
      </c>
      <c r="BF114" s="12">
        <v>492775566425.88098</v>
      </c>
      <c r="BG114" s="12">
        <v>460382791480.42798</v>
      </c>
      <c r="BH114" s="12">
        <v>408212917874.96399</v>
      </c>
      <c r="BI114" s="12">
        <v>457954614593.74597</v>
      </c>
      <c r="BJ114" s="12">
        <v>486630147094.48602</v>
      </c>
      <c r="BK114" s="12">
        <v>329691934144.50403</v>
      </c>
      <c r="BL114" s="12">
        <v>283649531542.63098</v>
      </c>
      <c r="BM114" s="12">
        <v>239735486745.70401</v>
      </c>
      <c r="BN114" s="12">
        <v>359096907772.98499</v>
      </c>
      <c r="BO114" s="12">
        <v>413493207349.26501</v>
      </c>
    </row>
    <row r="115" spans="1:67" x14ac:dyDescent="0.2">
      <c r="A115" s="12" t="s">
        <v>241</v>
      </c>
      <c r="B115" s="12" t="s">
        <v>240</v>
      </c>
      <c r="C115" s="12" t="s">
        <v>978</v>
      </c>
      <c r="D115" s="12" t="s">
        <v>979</v>
      </c>
      <c r="E115" s="12">
        <v>1683918766.4324901</v>
      </c>
      <c r="F115" s="12">
        <v>1831479827.4080701</v>
      </c>
      <c r="G115" s="12">
        <v>1954399498.2402</v>
      </c>
      <c r="H115" s="12">
        <v>1978199488.7202001</v>
      </c>
      <c r="I115" s="12">
        <v>2340239343.9042602</v>
      </c>
      <c r="M115" s="12">
        <v>2896598841.3604598</v>
      </c>
      <c r="N115" s="12">
        <v>3007758796.8964801</v>
      </c>
      <c r="O115" s="12">
        <v>3281318687.4725299</v>
      </c>
      <c r="P115" s="12">
        <v>3865346534.65347</v>
      </c>
      <c r="Q115" s="12">
        <v>4113848002.40312</v>
      </c>
      <c r="R115" s="12">
        <v>5134367778.1445999</v>
      </c>
      <c r="S115" s="12">
        <v>11516762614.2906</v>
      </c>
      <c r="T115" s="12">
        <v>13458516762.6143</v>
      </c>
      <c r="U115" s="12">
        <v>17754825601.083599</v>
      </c>
      <c r="V115" s="12">
        <v>19838130714.527599</v>
      </c>
      <c r="W115" s="12">
        <v>23762275651.879398</v>
      </c>
      <c r="X115" s="12">
        <v>37816457839.485298</v>
      </c>
      <c r="Y115" s="12">
        <v>52569000000</v>
      </c>
      <c r="Z115" s="12">
        <v>37823000000</v>
      </c>
      <c r="AA115" s="12">
        <v>42382333333.333298</v>
      </c>
      <c r="AB115" s="12">
        <v>40712903225.806396</v>
      </c>
      <c r="AC115" s="12">
        <v>46938387096.7742</v>
      </c>
      <c r="AD115" s="12">
        <v>48425161290.322601</v>
      </c>
      <c r="AE115" s="12">
        <v>47264516129.032303</v>
      </c>
      <c r="AF115" s="12">
        <v>56774193548.3871</v>
      </c>
      <c r="AG115" s="12">
        <v>62684516129.032303</v>
      </c>
      <c r="AH115" s="12">
        <v>65831935483.871002</v>
      </c>
      <c r="AI115" s="12">
        <v>180408064516.129</v>
      </c>
      <c r="AJ115" s="12">
        <v>407796349.66378498</v>
      </c>
      <c r="AK115" s="12">
        <v>553671957.67195797</v>
      </c>
      <c r="AL115" s="12">
        <v>1031944881.1318901</v>
      </c>
      <c r="AM115" s="12">
        <v>3991349282.7572899</v>
      </c>
      <c r="AN115" s="12">
        <v>12894029888.1122</v>
      </c>
      <c r="AO115" s="12">
        <v>10433698621.342699</v>
      </c>
      <c r="AP115" s="12">
        <v>20764857056.379501</v>
      </c>
      <c r="AQ115" s="12">
        <v>20617405044.2425</v>
      </c>
      <c r="AR115" s="12">
        <v>36881601583.819397</v>
      </c>
      <c r="AS115" s="12">
        <v>48364250943.905098</v>
      </c>
      <c r="AT115" s="12">
        <v>36176430128.805702</v>
      </c>
      <c r="AU115" s="12">
        <v>32928454672.424599</v>
      </c>
      <c r="AV115" s="12">
        <v>21921569478.816299</v>
      </c>
      <c r="AW115" s="12">
        <v>36627901762.063004</v>
      </c>
      <c r="AX115" s="12">
        <v>49954890353.260902</v>
      </c>
      <c r="AY115" s="12">
        <v>65140147197.121498</v>
      </c>
      <c r="AZ115" s="12">
        <v>88837055195.261902</v>
      </c>
      <c r="BA115" s="12">
        <v>131614433712.245</v>
      </c>
      <c r="BB115" s="12">
        <v>111657581662.35001</v>
      </c>
      <c r="BC115" s="12">
        <v>138516722649.573</v>
      </c>
      <c r="BD115" s="12">
        <v>185749664444.444</v>
      </c>
      <c r="BE115" s="12">
        <v>218002481737.69101</v>
      </c>
      <c r="BF115" s="12">
        <v>234637675128.64499</v>
      </c>
      <c r="BG115" s="12">
        <v>228415656174.957</v>
      </c>
      <c r="BH115" s="12">
        <v>166774104959.10199</v>
      </c>
      <c r="BI115" s="12">
        <v>166602488747.88501</v>
      </c>
      <c r="BJ115" s="12">
        <v>187217660050.67599</v>
      </c>
      <c r="BK115" s="12">
        <v>227367469034.03101</v>
      </c>
      <c r="BL115" s="12">
        <v>233636097800.33801</v>
      </c>
      <c r="BM115" s="12">
        <v>180924091442.953</v>
      </c>
      <c r="BN115" s="12">
        <v>207691599310.345</v>
      </c>
      <c r="BO115" s="12">
        <v>264182173793.103</v>
      </c>
    </row>
    <row r="116" spans="1:67" x14ac:dyDescent="0.2">
      <c r="A116" s="12" t="s">
        <v>161</v>
      </c>
      <c r="B116" s="12" t="s">
        <v>160</v>
      </c>
      <c r="C116" s="12" t="s">
        <v>978</v>
      </c>
      <c r="D116" s="12" t="s">
        <v>979</v>
      </c>
      <c r="E116" s="12">
        <v>248434096.96872601</v>
      </c>
      <c r="F116" s="12">
        <v>253885656.32925299</v>
      </c>
      <c r="G116" s="12">
        <v>284916516.15953702</v>
      </c>
      <c r="H116" s="12">
        <v>340061650.11989802</v>
      </c>
      <c r="I116" s="12">
        <v>434267936.91458303</v>
      </c>
      <c r="J116" s="12">
        <v>523694949.37068897</v>
      </c>
      <c r="K116" s="12">
        <v>628893310.39992595</v>
      </c>
      <c r="L116" s="12">
        <v>621225962.15470803</v>
      </c>
      <c r="M116" s="12">
        <v>474399471.62235898</v>
      </c>
      <c r="N116" s="12">
        <v>414709311.35295999</v>
      </c>
      <c r="O116" s="12">
        <v>526704545.45454502</v>
      </c>
      <c r="P116" s="12">
        <v>670251136.36363602</v>
      </c>
      <c r="Q116" s="12">
        <v>839652164.06072998</v>
      </c>
      <c r="R116" s="12">
        <v>1154440252.9679401</v>
      </c>
      <c r="S116" s="12">
        <v>1515190595.2976501</v>
      </c>
      <c r="T116" s="12">
        <v>1406875081.32726</v>
      </c>
      <c r="U116" s="12">
        <v>1669488389.96542</v>
      </c>
      <c r="V116" s="12">
        <v>2208509076.2809901</v>
      </c>
      <c r="W116" s="12">
        <v>2511826196.0089998</v>
      </c>
      <c r="X116" s="12">
        <v>2853435053.8854198</v>
      </c>
      <c r="Y116" s="12">
        <v>3381419251.2923102</v>
      </c>
      <c r="Z116" s="12">
        <v>3492997010.0495601</v>
      </c>
      <c r="AA116" s="12">
        <v>3206626644.5370998</v>
      </c>
      <c r="AB116" s="12">
        <v>2765950335.7109499</v>
      </c>
      <c r="AC116" s="12">
        <v>2864441387.4050698</v>
      </c>
      <c r="AD116" s="12">
        <v>2984052356.5507102</v>
      </c>
      <c r="AE116" s="12">
        <v>3989622739.2821202</v>
      </c>
      <c r="AF116" s="12">
        <v>5520318404.64149</v>
      </c>
      <c r="AG116" s="12">
        <v>6106635816.2458696</v>
      </c>
      <c r="AH116" s="12">
        <v>5672569449.0706797</v>
      </c>
      <c r="AI116" s="12">
        <v>6468736355.5567799</v>
      </c>
      <c r="AJ116" s="12">
        <v>6909730288.1706104</v>
      </c>
      <c r="AK116" s="12">
        <v>7080981738.0560598</v>
      </c>
      <c r="AL116" s="12">
        <v>6218581531.6434698</v>
      </c>
      <c r="AM116" s="12">
        <v>6389460342.7865601</v>
      </c>
      <c r="AN116" s="12">
        <v>7123633418.1973896</v>
      </c>
      <c r="AO116" s="12">
        <v>7426082270.6766901</v>
      </c>
      <c r="AP116" s="12">
        <v>7569672925.3373899</v>
      </c>
      <c r="AQ116" s="12">
        <v>8503693098.6227102</v>
      </c>
      <c r="AR116" s="12">
        <v>8982047589.4895</v>
      </c>
      <c r="AS116" s="12">
        <v>9025660361.7584209</v>
      </c>
      <c r="AT116" s="12">
        <v>8234846804.6058197</v>
      </c>
      <c r="AU116" s="12">
        <v>9318395054.8593407</v>
      </c>
      <c r="AV116" s="12">
        <v>11429333037.844299</v>
      </c>
      <c r="AW116" s="12">
        <v>13825302535.769899</v>
      </c>
      <c r="AX116" s="12">
        <v>16852963067.049601</v>
      </c>
      <c r="AY116" s="12">
        <v>17465318552.294102</v>
      </c>
      <c r="AZ116" s="12">
        <v>21652505596.7528</v>
      </c>
      <c r="BA116" s="12">
        <v>18074622987.018501</v>
      </c>
      <c r="BB116" s="12">
        <v>13154414219.207001</v>
      </c>
      <c r="BC116" s="12">
        <v>13751161917.739799</v>
      </c>
      <c r="BD116" s="12">
        <v>15221622925.9319</v>
      </c>
      <c r="BE116" s="12">
        <v>14751508133.5443</v>
      </c>
      <c r="BF116" s="12">
        <v>16125060515.311701</v>
      </c>
      <c r="BG116" s="12">
        <v>17867662177.891102</v>
      </c>
      <c r="BH116" s="12">
        <v>17517210519.091202</v>
      </c>
      <c r="BI116" s="12">
        <v>20793168030.9524</v>
      </c>
      <c r="BJ116" s="12">
        <v>24728285177.4603</v>
      </c>
      <c r="BK116" s="12">
        <v>26260850582.068699</v>
      </c>
      <c r="BL116" s="12">
        <v>24681343649.2952</v>
      </c>
      <c r="BM116" s="12">
        <v>21565767851.144001</v>
      </c>
      <c r="BN116" s="12">
        <v>25595940169.587898</v>
      </c>
      <c r="BO116" s="12">
        <v>28064529851.309799</v>
      </c>
    </row>
    <row r="117" spans="1:67" x14ac:dyDescent="0.2">
      <c r="A117" s="12" t="s">
        <v>147</v>
      </c>
      <c r="B117" s="12" t="s">
        <v>146</v>
      </c>
      <c r="C117" s="12" t="s">
        <v>978</v>
      </c>
      <c r="D117" s="12" t="s">
        <v>979</v>
      </c>
      <c r="E117" s="12">
        <v>2598500000</v>
      </c>
      <c r="F117" s="12">
        <v>3138500000</v>
      </c>
      <c r="G117" s="12">
        <v>2510000000</v>
      </c>
      <c r="H117" s="12">
        <v>2992333333.3333302</v>
      </c>
      <c r="I117" s="12">
        <v>3405333333.3333302</v>
      </c>
      <c r="J117" s="12">
        <v>3663333333.3333302</v>
      </c>
      <c r="K117" s="12">
        <v>3980000000</v>
      </c>
      <c r="L117" s="12">
        <v>4030000000</v>
      </c>
      <c r="M117" s="12">
        <v>4619000000</v>
      </c>
      <c r="N117" s="12">
        <v>5329333333.3333302</v>
      </c>
      <c r="AN117" s="12">
        <v>104892955202.07201</v>
      </c>
      <c r="AO117" s="12">
        <v>114505860826.519</v>
      </c>
      <c r="AP117" s="12">
        <v>118859377862.817</v>
      </c>
      <c r="AQ117" s="12">
        <v>120056692192.311</v>
      </c>
      <c r="AR117" s="12">
        <v>120922937410.923</v>
      </c>
      <c r="AS117" s="12">
        <v>136035771711.672</v>
      </c>
      <c r="AT117" s="12">
        <v>134635822098.58</v>
      </c>
      <c r="AU117" s="12">
        <v>125060622862.93201</v>
      </c>
      <c r="AV117" s="12">
        <v>131299915899.95799</v>
      </c>
      <c r="AW117" s="12">
        <v>139973148371.263</v>
      </c>
      <c r="AX117" s="12">
        <v>147083996033.603</v>
      </c>
      <c r="AY117" s="12">
        <v>158670456932.53699</v>
      </c>
      <c r="AZ117" s="12">
        <v>184052121662.082</v>
      </c>
      <c r="BA117" s="12">
        <v>220531065217.39099</v>
      </c>
      <c r="BB117" s="12">
        <v>211970040942.95999</v>
      </c>
      <c r="BC117" s="12">
        <v>238364092298.02301</v>
      </c>
      <c r="BD117" s="12">
        <v>266791854430.897</v>
      </c>
      <c r="BE117" s="12">
        <v>262282344091.849</v>
      </c>
      <c r="BF117" s="12">
        <v>297732778479.12903</v>
      </c>
      <c r="BG117" s="12">
        <v>314330061977.263</v>
      </c>
      <c r="BH117" s="12">
        <v>303414276832.03998</v>
      </c>
      <c r="BI117" s="12">
        <v>322102790386.83502</v>
      </c>
      <c r="BJ117" s="12">
        <v>358245427458.54102</v>
      </c>
      <c r="BK117" s="12">
        <v>376691526553.276</v>
      </c>
      <c r="BL117" s="12">
        <v>402470513619.14801</v>
      </c>
      <c r="BM117" s="12">
        <v>413267669231.52197</v>
      </c>
      <c r="BN117" s="12">
        <v>488526545878.89099</v>
      </c>
      <c r="BO117" s="12">
        <v>525002447652.77301</v>
      </c>
    </row>
    <row r="118" spans="1:67" x14ac:dyDescent="0.2">
      <c r="A118" s="12" t="s">
        <v>21</v>
      </c>
      <c r="B118" s="12" t="s">
        <v>20</v>
      </c>
      <c r="C118" s="12" t="s">
        <v>978</v>
      </c>
      <c r="D118" s="12" t="s">
        <v>979</v>
      </c>
      <c r="E118" s="12">
        <v>40385288344.191101</v>
      </c>
      <c r="F118" s="12">
        <v>44842760293.192398</v>
      </c>
      <c r="G118" s="12">
        <v>50383891898.991096</v>
      </c>
      <c r="H118" s="12">
        <v>57710743059.834099</v>
      </c>
      <c r="I118" s="12">
        <v>63175417019.009399</v>
      </c>
      <c r="J118" s="12">
        <v>67978153850.519096</v>
      </c>
      <c r="K118" s="12">
        <v>73654870011.275696</v>
      </c>
      <c r="L118" s="12">
        <v>81133120065.420197</v>
      </c>
      <c r="M118" s="12">
        <v>87942231678.350494</v>
      </c>
      <c r="N118" s="12">
        <v>97085082807.375107</v>
      </c>
      <c r="O118" s="12">
        <v>113395315985.13</v>
      </c>
      <c r="P118" s="12">
        <v>124672365792.759</v>
      </c>
      <c r="Q118" s="12">
        <v>145260039840.63699</v>
      </c>
      <c r="R118" s="12">
        <v>175492055795.41699</v>
      </c>
      <c r="S118" s="12">
        <v>199564489431.37799</v>
      </c>
      <c r="T118" s="12">
        <v>227695851126.92801</v>
      </c>
      <c r="U118" s="12">
        <v>224717278436.84601</v>
      </c>
      <c r="V118" s="12">
        <v>257596313364.05499</v>
      </c>
      <c r="W118" s="12">
        <v>315058323066.39301</v>
      </c>
      <c r="X118" s="12">
        <v>393677161500.81598</v>
      </c>
      <c r="Y118" s="12">
        <v>477256775943.92902</v>
      </c>
      <c r="Z118" s="12">
        <v>430702851303.01501</v>
      </c>
      <c r="AA118" s="12">
        <v>427272645669.29102</v>
      </c>
      <c r="AB118" s="12">
        <v>443042373788.883</v>
      </c>
      <c r="AC118" s="12">
        <v>437887689001.54303</v>
      </c>
      <c r="AD118" s="12">
        <v>452217492140.75702</v>
      </c>
      <c r="AE118" s="12">
        <v>640386352773.08704</v>
      </c>
      <c r="AF118" s="12">
        <v>805713128174.48499</v>
      </c>
      <c r="AG118" s="12">
        <v>891608957155.60803</v>
      </c>
      <c r="AH118" s="12">
        <v>928661332204.34705</v>
      </c>
      <c r="AI118" s="12">
        <v>1181222653522.95</v>
      </c>
      <c r="AJ118" s="12">
        <v>1246220156079.29</v>
      </c>
      <c r="AK118" s="12">
        <v>1320161644933.23</v>
      </c>
      <c r="AL118" s="12">
        <v>1064958075550.63</v>
      </c>
      <c r="AM118" s="12">
        <v>1099216688280.5</v>
      </c>
      <c r="AN118" s="12">
        <v>1174662070605.02</v>
      </c>
      <c r="AO118" s="12">
        <v>1312426527795.21</v>
      </c>
      <c r="AP118" s="12">
        <v>1241879604365.6201</v>
      </c>
      <c r="AQ118" s="12">
        <v>1270052525928.3999</v>
      </c>
      <c r="AR118" s="12">
        <v>1252446659833.79</v>
      </c>
      <c r="AS118" s="12">
        <v>1146676894209.73</v>
      </c>
      <c r="AT118" s="12">
        <v>1168023426056.3799</v>
      </c>
      <c r="AU118" s="12">
        <v>1276769338449.3</v>
      </c>
      <c r="AV118" s="12">
        <v>1577621707050.51</v>
      </c>
      <c r="AW118" s="12">
        <v>1806542968545.5601</v>
      </c>
      <c r="AX118" s="12">
        <v>1858217147203.73</v>
      </c>
      <c r="AY118" s="12">
        <v>1949551719389.6399</v>
      </c>
      <c r="AZ118" s="12">
        <v>2213102482751.46</v>
      </c>
      <c r="BA118" s="12">
        <v>2408655348718.5898</v>
      </c>
      <c r="BB118" s="12">
        <v>2199928804118.6299</v>
      </c>
      <c r="BC118" s="12">
        <v>2136099955236.6699</v>
      </c>
      <c r="BD118" s="12">
        <v>2294994296589.5</v>
      </c>
      <c r="BE118" s="12">
        <v>2086957656821.6001</v>
      </c>
      <c r="BF118" s="12">
        <v>2141924094298.5601</v>
      </c>
      <c r="BG118" s="12">
        <v>2162009615996.54</v>
      </c>
      <c r="BH118" s="12">
        <v>1836637711060.55</v>
      </c>
      <c r="BI118" s="12">
        <v>1877071687633.78</v>
      </c>
      <c r="BJ118" s="12">
        <v>1961796197354.3601</v>
      </c>
      <c r="BK118" s="12">
        <v>2091932426266.98</v>
      </c>
      <c r="BL118" s="12">
        <v>2011302198827.45</v>
      </c>
      <c r="BM118" s="12">
        <v>1897461635591.9099</v>
      </c>
      <c r="BN118" s="12">
        <v>2155360298998.03</v>
      </c>
      <c r="BO118" s="12">
        <v>2049737165407.98</v>
      </c>
    </row>
    <row r="119" spans="1:67" x14ac:dyDescent="0.2">
      <c r="A119" s="12" t="s">
        <v>95</v>
      </c>
      <c r="B119" s="12" t="s">
        <v>94</v>
      </c>
      <c r="C119" s="12" t="s">
        <v>978</v>
      </c>
      <c r="D119" s="12" t="s">
        <v>979</v>
      </c>
      <c r="E119" s="12">
        <v>699064380.37424803</v>
      </c>
      <c r="F119" s="12">
        <v>748043500.78260005</v>
      </c>
      <c r="G119" s="12">
        <v>777727688.90892398</v>
      </c>
      <c r="H119" s="12">
        <v>826706669.31733203</v>
      </c>
      <c r="I119" s="12">
        <v>897949000.8204</v>
      </c>
      <c r="J119" s="12">
        <v>972159611.13615596</v>
      </c>
      <c r="K119" s="12">
        <v>1096759561.29618</v>
      </c>
      <c r="L119" s="12">
        <v>1148014310.8255</v>
      </c>
      <c r="M119" s="12">
        <v>1083839132.92869</v>
      </c>
      <c r="N119" s="12">
        <v>1191239047.00876</v>
      </c>
      <c r="O119" s="12">
        <v>1404720441.88818</v>
      </c>
      <c r="P119" s="12">
        <v>1539861815.89381</v>
      </c>
      <c r="Q119" s="12">
        <v>1875146587.4442999</v>
      </c>
      <c r="R119" s="12">
        <v>1905917553.1914899</v>
      </c>
      <c r="S119" s="12">
        <v>2375122375.1223798</v>
      </c>
      <c r="T119" s="12">
        <v>2860442750.44275</v>
      </c>
      <c r="U119" s="12">
        <v>2966042856.04286</v>
      </c>
      <c r="V119" s="12">
        <v>3249733139.73314</v>
      </c>
      <c r="W119" s="12">
        <v>2644527821.5301099</v>
      </c>
      <c r="X119" s="12">
        <v>2425064229.0418401</v>
      </c>
      <c r="Y119" s="12">
        <v>2679379371.51261</v>
      </c>
      <c r="Z119" s="12">
        <v>2979027966.4537301</v>
      </c>
      <c r="AA119" s="12">
        <v>3293496311.9309301</v>
      </c>
      <c r="AB119" s="12">
        <v>3619262277.4771199</v>
      </c>
      <c r="AC119" s="12">
        <v>2373564549.4931998</v>
      </c>
      <c r="AD119" s="12">
        <v>2100239018.8246701</v>
      </c>
      <c r="AE119" s="12">
        <v>2754549581.9240899</v>
      </c>
      <c r="AF119" s="12">
        <v>3287007321.5669899</v>
      </c>
      <c r="AG119" s="12">
        <v>3828342820.3494</v>
      </c>
      <c r="AH119" s="12">
        <v>4404937853.3945198</v>
      </c>
      <c r="AI119" s="12">
        <v>4592208086.6923504</v>
      </c>
      <c r="AJ119" s="12">
        <v>4106207649.05547</v>
      </c>
      <c r="AK119" s="12">
        <v>3535460089.8071899</v>
      </c>
      <c r="AL119" s="12">
        <v>5440075675.7406702</v>
      </c>
      <c r="AM119" s="12">
        <v>5452558947.0304499</v>
      </c>
      <c r="AN119" s="12">
        <v>6577520642.8229704</v>
      </c>
      <c r="AO119" s="12">
        <v>7393891920.8035803</v>
      </c>
      <c r="AP119" s="12">
        <v>8400041723.5486097</v>
      </c>
      <c r="AQ119" s="12">
        <v>8787195622.4350204</v>
      </c>
      <c r="AR119" s="12">
        <v>8887057997.3622799</v>
      </c>
      <c r="AS119" s="12">
        <v>9005064474.9300308</v>
      </c>
      <c r="AT119" s="12">
        <v>9194727831.0731792</v>
      </c>
      <c r="AU119" s="12">
        <v>9719009494.8477898</v>
      </c>
      <c r="AV119" s="12">
        <v>9430234810.7858601</v>
      </c>
      <c r="AW119" s="12">
        <v>10174664853.947599</v>
      </c>
      <c r="AX119" s="12">
        <v>11243865777.7131</v>
      </c>
      <c r="AY119" s="12">
        <v>11930179089.8855</v>
      </c>
      <c r="AZ119" s="12">
        <v>12799600047.1845</v>
      </c>
      <c r="BA119" s="12">
        <v>13709401520.0326</v>
      </c>
      <c r="BB119" s="12">
        <v>12120458114.8318</v>
      </c>
      <c r="BC119" s="12">
        <v>13220549908.249399</v>
      </c>
      <c r="BD119" s="12">
        <v>14444661522.146299</v>
      </c>
      <c r="BE119" s="12">
        <v>14807086555.528299</v>
      </c>
      <c r="BF119" s="12">
        <v>14264205152.6126</v>
      </c>
      <c r="BG119" s="12">
        <v>13899217721.681801</v>
      </c>
      <c r="BH119" s="12">
        <v>14188936958.434299</v>
      </c>
      <c r="BI119" s="12">
        <v>14077096714.127899</v>
      </c>
      <c r="BJ119" s="12">
        <v>14808985171.344101</v>
      </c>
      <c r="BK119" s="12">
        <v>15730792835.5811</v>
      </c>
      <c r="BL119" s="12">
        <v>15830766570.726601</v>
      </c>
      <c r="BM119" s="12">
        <v>13812421803.4084</v>
      </c>
      <c r="BN119" s="12">
        <v>14657586127.0331</v>
      </c>
      <c r="BO119" s="12">
        <v>17097760723.920099</v>
      </c>
    </row>
    <row r="120" spans="1:67" x14ac:dyDescent="0.2">
      <c r="A120" s="12" t="s">
        <v>203</v>
      </c>
      <c r="B120" s="12" t="s">
        <v>202</v>
      </c>
      <c r="C120" s="12" t="s">
        <v>978</v>
      </c>
      <c r="D120" s="12" t="s">
        <v>979</v>
      </c>
      <c r="J120" s="12">
        <v>599759760.09609604</v>
      </c>
      <c r="K120" s="12">
        <v>657999736.80010498</v>
      </c>
      <c r="L120" s="12">
        <v>631679747.32810104</v>
      </c>
      <c r="M120" s="12">
        <v>561119775.55209005</v>
      </c>
      <c r="N120" s="12">
        <v>698879720.44811201</v>
      </c>
      <c r="O120" s="12">
        <v>639519744.19210196</v>
      </c>
      <c r="P120" s="12">
        <v>678159728.73610902</v>
      </c>
      <c r="Q120" s="12">
        <v>788479684.60812604</v>
      </c>
      <c r="R120" s="12">
        <v>943783839.71805203</v>
      </c>
      <c r="S120" s="12">
        <v>1197483948.6854701</v>
      </c>
      <c r="T120" s="12">
        <v>1363073497.77355</v>
      </c>
      <c r="U120" s="12">
        <v>1708521219.4600301</v>
      </c>
      <c r="V120" s="12">
        <v>2096778602.16785</v>
      </c>
      <c r="W120" s="12">
        <v>2602208588.9570599</v>
      </c>
      <c r="X120" s="12">
        <v>3271368780.65347</v>
      </c>
      <c r="Y120" s="12">
        <v>3910044474.2804399</v>
      </c>
      <c r="Z120" s="12">
        <v>4383944702.85958</v>
      </c>
      <c r="AA120" s="12">
        <v>4681240992.7033796</v>
      </c>
      <c r="AB120" s="12">
        <v>4920692190.9556904</v>
      </c>
      <c r="AC120" s="12">
        <v>4967162160.4047203</v>
      </c>
      <c r="AD120" s="12">
        <v>4993601520.4307899</v>
      </c>
      <c r="AE120" s="12">
        <v>6402050484.9042501</v>
      </c>
      <c r="AF120" s="12">
        <v>6756209762.4823103</v>
      </c>
      <c r="AG120" s="12">
        <v>6277451829.0532503</v>
      </c>
      <c r="AH120" s="12">
        <v>4221373673.8046799</v>
      </c>
      <c r="AI120" s="12">
        <v>4160087507.8347201</v>
      </c>
      <c r="AJ120" s="12">
        <v>4344467193.2509499</v>
      </c>
      <c r="AK120" s="12">
        <v>5310833193.5900497</v>
      </c>
      <c r="AL120" s="12">
        <v>5606400221.6926899</v>
      </c>
      <c r="AM120" s="12">
        <v>6236295978.2453098</v>
      </c>
      <c r="AN120" s="12">
        <v>6727597031.9634705</v>
      </c>
      <c r="AO120" s="12">
        <v>6927503526.0930901</v>
      </c>
      <c r="AP120" s="12">
        <v>7245839210.1551504</v>
      </c>
      <c r="AQ120" s="12">
        <v>7912270803.9492197</v>
      </c>
      <c r="AR120" s="12">
        <v>8149929478.1382198</v>
      </c>
      <c r="AS120" s="12">
        <v>8460789844.8519001</v>
      </c>
      <c r="AT120" s="12">
        <v>8975814652.8195992</v>
      </c>
      <c r="AU120" s="12">
        <v>9582510578.2792702</v>
      </c>
      <c r="AV120" s="12">
        <v>10195627644.569799</v>
      </c>
      <c r="AW120" s="12">
        <v>11411706629.055</v>
      </c>
      <c r="AX120" s="12">
        <v>12588998589.562799</v>
      </c>
      <c r="AY120" s="12">
        <v>15056981664.315901</v>
      </c>
      <c r="AZ120" s="12">
        <v>17110437235.542999</v>
      </c>
      <c r="BA120" s="12">
        <v>22658715989.3302</v>
      </c>
      <c r="BB120" s="12">
        <v>24537876056.338001</v>
      </c>
      <c r="BC120" s="12">
        <v>27133804225.3521</v>
      </c>
      <c r="BD120" s="12">
        <v>29524149154.9296</v>
      </c>
      <c r="BE120" s="12">
        <v>31634561690.1408</v>
      </c>
      <c r="BF120" s="12">
        <v>34454440140.8451</v>
      </c>
      <c r="BG120" s="12">
        <v>36847643521.126801</v>
      </c>
      <c r="BH120" s="12">
        <v>38587017887.323898</v>
      </c>
      <c r="BI120" s="12">
        <v>39892551126.760597</v>
      </c>
      <c r="BJ120" s="12">
        <v>41608435915.492996</v>
      </c>
      <c r="BK120" s="12">
        <v>43370860704.225403</v>
      </c>
      <c r="BL120" s="12">
        <v>44502816901.408501</v>
      </c>
      <c r="BM120" s="12">
        <v>43700383098.591599</v>
      </c>
      <c r="BN120" s="12">
        <v>46296100140.8451</v>
      </c>
      <c r="BO120" s="12">
        <v>48653381780.639702</v>
      </c>
    </row>
    <row r="121" spans="1:67" x14ac:dyDescent="0.2">
      <c r="A121" s="12" t="s">
        <v>27</v>
      </c>
      <c r="B121" s="12" t="s">
        <v>26</v>
      </c>
      <c r="C121" s="12" t="s">
        <v>978</v>
      </c>
      <c r="D121" s="12" t="s">
        <v>979</v>
      </c>
      <c r="E121" s="12">
        <v>44307342950.400002</v>
      </c>
      <c r="F121" s="12">
        <v>53508617739.3778</v>
      </c>
      <c r="G121" s="12">
        <v>60723018683.733299</v>
      </c>
      <c r="H121" s="12">
        <v>69498131797.333298</v>
      </c>
      <c r="I121" s="12">
        <v>81749006381.511093</v>
      </c>
      <c r="J121" s="12">
        <v>90950278257.777802</v>
      </c>
      <c r="K121" s="12">
        <v>105628070343.11099</v>
      </c>
      <c r="L121" s="12">
        <v>123781880217.60001</v>
      </c>
      <c r="M121" s="12">
        <v>146601072685.51099</v>
      </c>
      <c r="N121" s="12">
        <v>172204199480.88901</v>
      </c>
      <c r="O121" s="12">
        <v>217223652719.444</v>
      </c>
      <c r="P121" s="12">
        <v>245364056622.36301</v>
      </c>
      <c r="Q121" s="12">
        <v>324933841268.58502</v>
      </c>
      <c r="R121" s="12">
        <v>441460582535.92102</v>
      </c>
      <c r="S121" s="12">
        <v>490035789970.29901</v>
      </c>
      <c r="T121" s="12">
        <v>532861438884.724</v>
      </c>
      <c r="U121" s="12">
        <v>598883902155.60498</v>
      </c>
      <c r="V121" s="12">
        <v>737069290927.71204</v>
      </c>
      <c r="W121" s="12">
        <v>1035611588216.59</v>
      </c>
      <c r="X121" s="12">
        <v>1077910077676.37</v>
      </c>
      <c r="Y121" s="12">
        <v>1129377244854.04</v>
      </c>
      <c r="Z121" s="12">
        <v>1245221410764.1499</v>
      </c>
      <c r="AA121" s="12">
        <v>1158731426905.8501</v>
      </c>
      <c r="AB121" s="12">
        <v>1270859919742.8999</v>
      </c>
      <c r="AC121" s="12">
        <v>1345824500836.76</v>
      </c>
      <c r="AD121" s="12">
        <v>1427019759717.4099</v>
      </c>
      <c r="AE121" s="12">
        <v>2120083812109.9099</v>
      </c>
      <c r="AF121" s="12">
        <v>2580748422781.0898</v>
      </c>
      <c r="AG121" s="12">
        <v>3125724434400.79</v>
      </c>
      <c r="AH121" s="12">
        <v>3109455047823.9302</v>
      </c>
      <c r="AI121" s="12">
        <v>3185904656663.8501</v>
      </c>
      <c r="AJ121" s="12">
        <v>3648065760648.8799</v>
      </c>
      <c r="AK121" s="12">
        <v>3980702922117.6602</v>
      </c>
      <c r="AL121" s="12">
        <v>4536940479038.25</v>
      </c>
      <c r="AM121" s="12">
        <v>4998797547740.9697</v>
      </c>
      <c r="AN121" s="12">
        <v>5545563663889.7002</v>
      </c>
      <c r="AO121" s="12">
        <v>4923391533851.6299</v>
      </c>
      <c r="AP121" s="12">
        <v>4492448605638.9404</v>
      </c>
      <c r="AQ121" s="12">
        <v>4098362709531.2402</v>
      </c>
      <c r="AR121" s="12">
        <v>4635982224063.8799</v>
      </c>
      <c r="AS121" s="12">
        <v>4968359075956.5898</v>
      </c>
      <c r="AT121" s="12">
        <v>4374711694090.8701</v>
      </c>
      <c r="AU121" s="12">
        <v>4182846045873.6099</v>
      </c>
      <c r="AV121" s="12">
        <v>4519561645253.5303</v>
      </c>
      <c r="AW121" s="12">
        <v>4893116005656.5596</v>
      </c>
      <c r="AX121" s="12">
        <v>4831467035389.7998</v>
      </c>
      <c r="AY121" s="12">
        <v>4601663122649.9199</v>
      </c>
      <c r="AZ121" s="12">
        <v>4579750920354.8096</v>
      </c>
      <c r="BA121" s="12">
        <v>5106679115127.2998</v>
      </c>
      <c r="BB121" s="12">
        <v>5289493117993.8896</v>
      </c>
      <c r="BC121" s="12">
        <v>5759071769013.1104</v>
      </c>
      <c r="BD121" s="12">
        <v>6233147172341.3496</v>
      </c>
      <c r="BE121" s="12">
        <v>6272362996105.0303</v>
      </c>
      <c r="BF121" s="12">
        <v>5212328181166.1797</v>
      </c>
      <c r="BG121" s="12">
        <v>4896994405353.29</v>
      </c>
      <c r="BH121" s="12">
        <v>4444930651964.1797</v>
      </c>
      <c r="BI121" s="12">
        <v>5003677627544.2402</v>
      </c>
      <c r="BJ121" s="12">
        <v>4930837369151.4199</v>
      </c>
      <c r="BK121" s="12">
        <v>5040880939324.8604</v>
      </c>
      <c r="BL121" s="12">
        <v>5117993853016.5098</v>
      </c>
      <c r="BM121" s="12">
        <v>5055587093501.5898</v>
      </c>
      <c r="BN121" s="12">
        <v>5034620784584.9805</v>
      </c>
      <c r="BO121" s="12">
        <v>4256410760723.75</v>
      </c>
    </row>
    <row r="122" spans="1:67" x14ac:dyDescent="0.2">
      <c r="A122" s="12" t="s">
        <v>97</v>
      </c>
      <c r="B122" s="12" t="s">
        <v>96</v>
      </c>
      <c r="C122" s="12" t="s">
        <v>978</v>
      </c>
      <c r="D122" s="12" t="s">
        <v>979</v>
      </c>
      <c r="AI122" s="12">
        <v>26932016269.610699</v>
      </c>
      <c r="AJ122" s="12">
        <v>24923076923.0769</v>
      </c>
      <c r="AK122" s="12">
        <v>24917355371.900799</v>
      </c>
      <c r="AL122" s="12">
        <v>23409260879.942699</v>
      </c>
      <c r="AM122" s="12">
        <v>21250792886.1054</v>
      </c>
      <c r="AN122" s="12">
        <v>20374302652.381901</v>
      </c>
      <c r="AO122" s="12">
        <v>21035357936.879601</v>
      </c>
      <c r="AP122" s="12">
        <v>22165932062.966</v>
      </c>
      <c r="AQ122" s="12">
        <v>22135245507.365601</v>
      </c>
      <c r="AR122" s="12">
        <v>16870817181.7799</v>
      </c>
      <c r="AS122" s="12">
        <v>18291990662.035599</v>
      </c>
      <c r="AT122" s="12">
        <v>22152689179.8815</v>
      </c>
      <c r="AU122" s="12">
        <v>24636598527.443699</v>
      </c>
      <c r="AV122" s="12">
        <v>30833692900.1091</v>
      </c>
      <c r="AW122" s="12">
        <v>43151647002.609596</v>
      </c>
      <c r="AX122" s="12">
        <v>57123671733.895203</v>
      </c>
      <c r="AY122" s="12">
        <v>81003864630.018005</v>
      </c>
      <c r="AZ122" s="12">
        <v>104849915058.37601</v>
      </c>
      <c r="BA122" s="12">
        <v>133441648851.98199</v>
      </c>
      <c r="BB122" s="12">
        <v>115308686941.38</v>
      </c>
      <c r="BC122" s="12">
        <v>148047348240.64301</v>
      </c>
      <c r="BD122" s="12">
        <v>192626464617.07101</v>
      </c>
      <c r="BE122" s="12">
        <v>207998568865.789</v>
      </c>
      <c r="BF122" s="12">
        <v>236634603409.08899</v>
      </c>
      <c r="BG122" s="12">
        <v>221415613595.46899</v>
      </c>
      <c r="BH122" s="12">
        <v>184388404706.04199</v>
      </c>
      <c r="BI122" s="12">
        <v>137278320084.17101</v>
      </c>
      <c r="BJ122" s="12">
        <v>166805788827.233</v>
      </c>
      <c r="BK122" s="12">
        <v>179339977690.48499</v>
      </c>
      <c r="BL122" s="12">
        <v>181667184854.50101</v>
      </c>
      <c r="BM122" s="12">
        <v>171082365861.423</v>
      </c>
      <c r="BN122" s="12">
        <v>197112255360.612</v>
      </c>
      <c r="BO122" s="12">
        <v>225496328925.49399</v>
      </c>
    </row>
    <row r="123" spans="1:67" x14ac:dyDescent="0.2">
      <c r="A123" s="12" t="s">
        <v>67</v>
      </c>
      <c r="B123" s="12" t="s">
        <v>66</v>
      </c>
      <c r="C123" s="12" t="s">
        <v>978</v>
      </c>
      <c r="D123" s="12" t="s">
        <v>979</v>
      </c>
      <c r="E123" s="12">
        <v>791265459.49381602</v>
      </c>
      <c r="F123" s="12">
        <v>792959472.81621099</v>
      </c>
      <c r="G123" s="12">
        <v>868111400.75544</v>
      </c>
      <c r="H123" s="12">
        <v>926589349.36425996</v>
      </c>
      <c r="I123" s="12">
        <v>998759334.49626601</v>
      </c>
      <c r="J123" s="12">
        <v>997919320.83227205</v>
      </c>
      <c r="K123" s="12">
        <v>1164519674.1921301</v>
      </c>
      <c r="L123" s="12">
        <v>1232559506.9762001</v>
      </c>
      <c r="M123" s="12">
        <v>1353295458.6818199</v>
      </c>
      <c r="N123" s="12">
        <v>1458379416.6482301</v>
      </c>
      <c r="O123" s="12">
        <v>1603447358.6210599</v>
      </c>
      <c r="P123" s="12">
        <v>1778391288.6434801</v>
      </c>
      <c r="Q123" s="12">
        <v>2107279157.08834</v>
      </c>
      <c r="R123" s="12">
        <v>2509001324.3459101</v>
      </c>
      <c r="S123" s="12">
        <v>2969958812.01648</v>
      </c>
      <c r="T123" s="12">
        <v>3259345083.2628298</v>
      </c>
      <c r="U123" s="12">
        <v>3474542391.6999202</v>
      </c>
      <c r="V123" s="12">
        <v>4494378764.3201103</v>
      </c>
      <c r="W123" s="12">
        <v>5303735110.5515099</v>
      </c>
      <c r="X123" s="12">
        <v>6234391113.4643402</v>
      </c>
      <c r="Y123" s="12">
        <v>7265315820.2077703</v>
      </c>
      <c r="Z123" s="12">
        <v>6854491705.88377</v>
      </c>
      <c r="AA123" s="12">
        <v>6431579356.95926</v>
      </c>
      <c r="AB123" s="12">
        <v>5979198313.7609301</v>
      </c>
      <c r="AC123" s="12">
        <v>6191437070.1841097</v>
      </c>
      <c r="AD123" s="12">
        <v>6135034213.7899799</v>
      </c>
      <c r="AE123" s="12">
        <v>7239126568.1409197</v>
      </c>
      <c r="AF123" s="12">
        <v>7970820369.2948999</v>
      </c>
      <c r="AG123" s="12">
        <v>8355380879.12955</v>
      </c>
      <c r="AH123" s="12">
        <v>8283114514.1708097</v>
      </c>
      <c r="AI123" s="12">
        <v>8572359038.1695805</v>
      </c>
      <c r="AJ123" s="12">
        <v>8151488783.1906404</v>
      </c>
      <c r="AK123" s="12">
        <v>8209120763.0495501</v>
      </c>
      <c r="AL123" s="12">
        <v>5751786642.5587101</v>
      </c>
      <c r="AM123" s="12">
        <v>7148148564.0423899</v>
      </c>
      <c r="AN123" s="12">
        <v>9046320255.4050694</v>
      </c>
      <c r="AO123" s="12">
        <v>12045865396.132299</v>
      </c>
      <c r="AP123" s="12">
        <v>13115764358.284599</v>
      </c>
      <c r="AQ123" s="12">
        <v>14093998843.7334</v>
      </c>
      <c r="AR123" s="12">
        <v>12896010459.371099</v>
      </c>
      <c r="AS123" s="12">
        <v>12705350097.804399</v>
      </c>
      <c r="AT123" s="12">
        <v>12986007425.878099</v>
      </c>
      <c r="AU123" s="12">
        <v>13147736898.517599</v>
      </c>
      <c r="AV123" s="12">
        <v>14904517649.847601</v>
      </c>
      <c r="AW123" s="12">
        <v>16095337093.836599</v>
      </c>
      <c r="AX123" s="12">
        <v>18737895512.737801</v>
      </c>
      <c r="AY123" s="12">
        <v>25825512284.289101</v>
      </c>
      <c r="AZ123" s="12">
        <v>31958195182.240601</v>
      </c>
      <c r="BA123" s="12">
        <v>35895153327.849701</v>
      </c>
      <c r="BB123" s="12">
        <v>42347217912.917603</v>
      </c>
      <c r="BC123" s="12">
        <v>45405615063.755096</v>
      </c>
      <c r="BD123" s="12">
        <v>46869473150.610001</v>
      </c>
      <c r="BE123" s="12">
        <v>56396704671.577698</v>
      </c>
      <c r="BF123" s="12">
        <v>61671440407.838699</v>
      </c>
      <c r="BG123" s="12">
        <v>68285796514.289597</v>
      </c>
      <c r="BH123" s="12">
        <v>70120446896.835907</v>
      </c>
      <c r="BI123" s="12">
        <v>74815144163.893097</v>
      </c>
      <c r="BJ123" s="12">
        <v>82036510877.259903</v>
      </c>
      <c r="BK123" s="12">
        <v>92202979985.286301</v>
      </c>
      <c r="BL123" s="12">
        <v>100378436207.371</v>
      </c>
      <c r="BM123" s="12">
        <v>100657505750.545</v>
      </c>
      <c r="BN123" s="12">
        <v>109703658904.994</v>
      </c>
      <c r="BO123" s="12">
        <v>113420008178.793</v>
      </c>
    </row>
    <row r="124" spans="1:67" x14ac:dyDescent="0.2">
      <c r="A124" s="12" t="s">
        <v>173</v>
      </c>
      <c r="B124" s="12" t="s">
        <v>172</v>
      </c>
      <c r="C124" s="12" t="s">
        <v>978</v>
      </c>
      <c r="D124" s="12" t="s">
        <v>979</v>
      </c>
      <c r="AI124" s="12">
        <v>2675000000</v>
      </c>
      <c r="AJ124" s="12">
        <v>2569444444.4444399</v>
      </c>
      <c r="AK124" s="12">
        <v>2316562500</v>
      </c>
      <c r="AL124" s="12">
        <v>2028295454.54545</v>
      </c>
      <c r="AM124" s="12">
        <v>1681006993.00699</v>
      </c>
      <c r="AN124" s="12">
        <v>1661018518.5185201</v>
      </c>
      <c r="AO124" s="12">
        <v>1827570586.16784</v>
      </c>
      <c r="AP124" s="12">
        <v>1767864035.71943</v>
      </c>
      <c r="AQ124" s="12">
        <v>1645963749.83146</v>
      </c>
      <c r="AR124" s="12">
        <v>1249061487.01457</v>
      </c>
      <c r="AS124" s="12">
        <v>1369688498.06778</v>
      </c>
      <c r="AT124" s="12">
        <v>1525116370.2793901</v>
      </c>
      <c r="AU124" s="12">
        <v>1605643104.7302101</v>
      </c>
      <c r="AV124" s="12">
        <v>1919008090.4964099</v>
      </c>
      <c r="AW124" s="12">
        <v>2211534585.0033998</v>
      </c>
      <c r="AX124" s="12">
        <v>2460246766.41401</v>
      </c>
      <c r="AY124" s="12">
        <v>2834168889.4201899</v>
      </c>
      <c r="AZ124" s="12">
        <v>3802570552.5610499</v>
      </c>
      <c r="BA124" s="12">
        <v>5139958909.1793604</v>
      </c>
      <c r="BB124" s="12">
        <v>4690061380.6025295</v>
      </c>
      <c r="BC124" s="12">
        <v>4794361863.0135298</v>
      </c>
      <c r="BD124" s="12">
        <v>6197765984.2846804</v>
      </c>
      <c r="BE124" s="12">
        <v>6605142884.3621502</v>
      </c>
      <c r="BF124" s="12">
        <v>7335033800.59056</v>
      </c>
      <c r="BG124" s="12">
        <v>7468102412.6823702</v>
      </c>
      <c r="BH124" s="12">
        <v>6678177511.6631298</v>
      </c>
      <c r="BI124" s="12">
        <v>6813095379.1187</v>
      </c>
      <c r="BJ124" s="12">
        <v>7702938379.4203596</v>
      </c>
      <c r="BK124" s="12">
        <v>8271106235.4155197</v>
      </c>
      <c r="BL124" s="12">
        <v>9371275264.3673496</v>
      </c>
      <c r="BM124" s="12">
        <v>8270468614.24051</v>
      </c>
      <c r="BN124" s="12">
        <v>9249133946.2653103</v>
      </c>
      <c r="BO124" s="12">
        <v>11543966558.841999</v>
      </c>
    </row>
    <row r="125" spans="1:67" x14ac:dyDescent="0.2">
      <c r="A125" s="12" t="s">
        <v>237</v>
      </c>
      <c r="B125" s="12" t="s">
        <v>236</v>
      </c>
      <c r="C125" s="12" t="s">
        <v>978</v>
      </c>
      <c r="D125" s="12" t="s">
        <v>979</v>
      </c>
      <c r="E125" s="12">
        <v>637142865.71428597</v>
      </c>
      <c r="F125" s="12">
        <v>642857134.28571403</v>
      </c>
      <c r="G125" s="12">
        <v>660000008.57142901</v>
      </c>
      <c r="H125" s="12">
        <v>728571437.14285696</v>
      </c>
      <c r="I125" s="12">
        <v>782857128.57142901</v>
      </c>
      <c r="J125" s="12">
        <v>868571428.57142901</v>
      </c>
      <c r="K125" s="12">
        <v>914285714.28571403</v>
      </c>
      <c r="L125" s="12">
        <v>962857134.28571403</v>
      </c>
      <c r="M125" s="12">
        <v>1065714248.57143</v>
      </c>
      <c r="N125" s="12">
        <v>978873232.39436603</v>
      </c>
      <c r="O125" s="12">
        <v>718401157.72416306</v>
      </c>
      <c r="P125" s="12">
        <v>969911421.39418006</v>
      </c>
      <c r="Q125" s="12">
        <v>505549441.37507701</v>
      </c>
      <c r="R125" s="12">
        <v>702899155.98203301</v>
      </c>
      <c r="S125" s="12">
        <v>588443893.68977296</v>
      </c>
      <c r="AL125" s="12">
        <v>2533727592.0416498</v>
      </c>
      <c r="AM125" s="12">
        <v>2791435272.26653</v>
      </c>
      <c r="AN125" s="12">
        <v>3441205692.9166002</v>
      </c>
      <c r="AO125" s="12">
        <v>3506695719.5725899</v>
      </c>
      <c r="AP125" s="12">
        <v>3443413388.65696</v>
      </c>
      <c r="AQ125" s="12">
        <v>3120425502.6624098</v>
      </c>
      <c r="AR125" s="12">
        <v>3517242477.2547998</v>
      </c>
      <c r="AS125" s="12">
        <v>3654031716.39855</v>
      </c>
      <c r="AT125" s="12">
        <v>3984000517.07441</v>
      </c>
      <c r="AU125" s="12">
        <v>4284028482.5121298</v>
      </c>
      <c r="AV125" s="12">
        <v>4658246918.3211899</v>
      </c>
      <c r="AW125" s="12">
        <v>5337833248.0143404</v>
      </c>
      <c r="AX125" s="12">
        <v>6293046161.7593203</v>
      </c>
      <c r="AY125" s="12">
        <v>7274595706.5740604</v>
      </c>
      <c r="AZ125" s="12">
        <v>8639235912.5907707</v>
      </c>
      <c r="BA125" s="12">
        <v>10351914177.4839</v>
      </c>
      <c r="BB125" s="12">
        <v>10401851767.7083</v>
      </c>
      <c r="BC125" s="12">
        <v>11242275287.580999</v>
      </c>
      <c r="BD125" s="12">
        <v>12829541141.062</v>
      </c>
      <c r="BE125" s="12">
        <v>14054443213.488701</v>
      </c>
      <c r="BF125" s="12">
        <v>15227991395.120701</v>
      </c>
      <c r="BG125" s="12">
        <v>16702610842.3529</v>
      </c>
      <c r="BH125" s="12">
        <v>18049954289.472099</v>
      </c>
      <c r="BI125" s="12">
        <v>20016747857.6367</v>
      </c>
      <c r="BJ125" s="12">
        <v>22177200588.182598</v>
      </c>
      <c r="BK125" s="12">
        <v>24571753583.393501</v>
      </c>
      <c r="BL125" s="12">
        <v>27089390032.798</v>
      </c>
      <c r="BM125" s="12">
        <v>25872797891.766399</v>
      </c>
      <c r="BN125" s="12">
        <v>26961061151.7337</v>
      </c>
      <c r="BO125" s="12">
        <v>29504829319.316898</v>
      </c>
    </row>
    <row r="126" spans="1:67" x14ac:dyDescent="0.2">
      <c r="A126" s="12" t="s">
        <v>355</v>
      </c>
      <c r="B126" s="12" t="s">
        <v>354</v>
      </c>
      <c r="C126" s="12" t="s">
        <v>978</v>
      </c>
      <c r="D126" s="12" t="s">
        <v>979</v>
      </c>
      <c r="O126" s="12">
        <v>14295279.544693699</v>
      </c>
      <c r="P126" s="12">
        <v>15278632.4786325</v>
      </c>
      <c r="Q126" s="12">
        <v>18936526.946107801</v>
      </c>
      <c r="R126" s="12">
        <v>31710657.725781102</v>
      </c>
      <c r="S126" s="12">
        <v>85637174.372213095</v>
      </c>
      <c r="T126" s="12">
        <v>55083908.146794401</v>
      </c>
      <c r="U126" s="12">
        <v>41110421.3207151</v>
      </c>
      <c r="V126" s="12">
        <v>38746985.279849201</v>
      </c>
      <c r="W126" s="12">
        <v>45212147.989089601</v>
      </c>
      <c r="X126" s="12">
        <v>42618212.221438497</v>
      </c>
      <c r="Y126" s="12">
        <v>42129522.091810502</v>
      </c>
      <c r="Z126" s="12">
        <v>43667369.558097698</v>
      </c>
      <c r="AA126" s="12">
        <v>40573588.825222202</v>
      </c>
      <c r="AB126" s="12">
        <v>37837326.522614598</v>
      </c>
      <c r="AC126" s="12">
        <v>42123036.1231362</v>
      </c>
      <c r="AD126" s="12">
        <v>32125260.581257701</v>
      </c>
      <c r="AE126" s="12">
        <v>31417658.328286499</v>
      </c>
      <c r="AF126" s="12">
        <v>35709784.4809478</v>
      </c>
      <c r="AG126" s="12">
        <v>44534450.913659401</v>
      </c>
      <c r="AH126" s="12">
        <v>44282882.214650199</v>
      </c>
      <c r="AI126" s="12">
        <v>42933296.488758899</v>
      </c>
      <c r="AJ126" s="12">
        <v>47516817.837657601</v>
      </c>
      <c r="AK126" s="12">
        <v>47736272.516832501</v>
      </c>
      <c r="AL126" s="12">
        <v>46920900.881296903</v>
      </c>
      <c r="AM126" s="12">
        <v>54834542.252208203</v>
      </c>
      <c r="AN126" s="12">
        <v>56336650.0300586</v>
      </c>
      <c r="AO126" s="12">
        <v>66517302.715549298</v>
      </c>
      <c r="AP126" s="12">
        <v>67538482.091169506</v>
      </c>
      <c r="AQ126" s="12">
        <v>65333691.831027001</v>
      </c>
      <c r="AR126" s="12">
        <v>69034484.983386606</v>
      </c>
      <c r="AS126" s="12">
        <v>67253121.6174144</v>
      </c>
      <c r="AT126" s="12">
        <v>63099901.6262189</v>
      </c>
      <c r="AU126" s="12">
        <v>72197909.009362906</v>
      </c>
      <c r="AV126" s="12">
        <v>90231037.528681904</v>
      </c>
      <c r="AW126" s="12">
        <v>102370652.883761</v>
      </c>
      <c r="AX126" s="12">
        <v>112136256.341291</v>
      </c>
      <c r="AY126" s="12">
        <v>110237181.027024</v>
      </c>
      <c r="AZ126" s="12">
        <v>132674851.389707</v>
      </c>
      <c r="BA126" s="12">
        <v>141045213.04704499</v>
      </c>
      <c r="BB126" s="12">
        <v>132421039.331955</v>
      </c>
      <c r="BC126" s="12">
        <v>155305602.21032</v>
      </c>
      <c r="BD126" s="12">
        <v>180672702.31045401</v>
      </c>
      <c r="BE126" s="12">
        <v>189629954.82506201</v>
      </c>
      <c r="BF126" s="12">
        <v>184543120.91697299</v>
      </c>
      <c r="BG126" s="12">
        <v>177868200.03912199</v>
      </c>
      <c r="BH126" s="12">
        <v>170292316.823055</v>
      </c>
      <c r="BI126" s="12">
        <v>178507954.86814699</v>
      </c>
      <c r="BJ126" s="12">
        <v>188540710.231323</v>
      </c>
      <c r="BK126" s="12">
        <v>196501525.68865201</v>
      </c>
      <c r="BL126" s="12">
        <v>175181629.286475</v>
      </c>
      <c r="BM126" s="12">
        <v>177553274.58476299</v>
      </c>
      <c r="BN126" s="12">
        <v>227610079.145208</v>
      </c>
      <c r="BO126" s="12">
        <v>223353014.29459301</v>
      </c>
    </row>
    <row r="127" spans="1:67" x14ac:dyDescent="0.2">
      <c r="A127" s="12" t="s">
        <v>357</v>
      </c>
      <c r="B127" s="12" t="s">
        <v>356</v>
      </c>
      <c r="C127" s="12" t="s">
        <v>978</v>
      </c>
      <c r="D127" s="12" t="s">
        <v>979</v>
      </c>
      <c r="E127" s="12">
        <v>12366635.7500773</v>
      </c>
      <c r="F127" s="12">
        <v>12483302.125078</v>
      </c>
      <c r="G127" s="12">
        <v>12541635.312578401</v>
      </c>
      <c r="H127" s="12">
        <v>12833301.2500802</v>
      </c>
      <c r="I127" s="12">
        <v>13416633.125083899</v>
      </c>
      <c r="J127" s="12">
        <v>13593932.322053701</v>
      </c>
      <c r="K127" s="12">
        <v>14469078.179696601</v>
      </c>
      <c r="L127" s="12">
        <v>16742338.251986399</v>
      </c>
      <c r="M127" s="12">
        <v>14600000</v>
      </c>
      <c r="N127" s="12">
        <v>15850000</v>
      </c>
      <c r="O127" s="12">
        <v>16300000</v>
      </c>
      <c r="P127" s="12">
        <v>19624746.4503043</v>
      </c>
      <c r="Q127" s="12">
        <v>22944849.115504701</v>
      </c>
      <c r="R127" s="12">
        <v>24196018.376722801</v>
      </c>
      <c r="S127" s="12">
        <v>31514856.307842199</v>
      </c>
      <c r="T127" s="12">
        <v>33364055.299539201</v>
      </c>
      <c r="U127" s="12">
        <v>30095602.2944551</v>
      </c>
      <c r="V127" s="12">
        <v>44496296.296296299</v>
      </c>
      <c r="W127" s="12">
        <v>49433333.333333299</v>
      </c>
      <c r="X127" s="12">
        <v>58840740.740740702</v>
      </c>
      <c r="Y127" s="12">
        <v>68459259.259259298</v>
      </c>
      <c r="Z127" s="12">
        <v>80888888.888888896</v>
      </c>
      <c r="AA127" s="12">
        <v>86022222.222222194</v>
      </c>
      <c r="AB127" s="12">
        <v>86874074.074074104</v>
      </c>
      <c r="AC127" s="12">
        <v>98603703.703703701</v>
      </c>
      <c r="AD127" s="12">
        <v>111007407.407407</v>
      </c>
      <c r="AE127" s="12">
        <v>130685185.185185</v>
      </c>
      <c r="AF127" s="12">
        <v>147748148.148148</v>
      </c>
      <c r="AG127" s="12">
        <v>172692592.59259301</v>
      </c>
      <c r="AH127" s="12">
        <v>192518518.518518</v>
      </c>
      <c r="AI127" s="12">
        <v>217259259.25925899</v>
      </c>
      <c r="AJ127" s="12">
        <v>220540740.74074101</v>
      </c>
      <c r="AK127" s="12">
        <v>242137037.03703699</v>
      </c>
      <c r="AL127" s="12">
        <v>263755555.555556</v>
      </c>
      <c r="AM127" s="12">
        <v>295159259.25925899</v>
      </c>
      <c r="AN127" s="12">
        <v>313485185.18518502</v>
      </c>
      <c r="AO127" s="12">
        <v>333944444.444444</v>
      </c>
      <c r="AP127" s="12">
        <v>374641307.97464103</v>
      </c>
      <c r="AQ127" s="12">
        <v>383257331.40548003</v>
      </c>
      <c r="AR127" s="12">
        <v>406595484.37326199</v>
      </c>
      <c r="AS127" s="12">
        <v>421695769.84391803</v>
      </c>
      <c r="AT127" s="12">
        <v>458643829.01419902</v>
      </c>
      <c r="AU127" s="12">
        <v>481077373.66996598</v>
      </c>
      <c r="AV127" s="12">
        <v>469869869.86987001</v>
      </c>
      <c r="AW127" s="12">
        <v>506900000</v>
      </c>
      <c r="AX127" s="12">
        <v>547203703.703704</v>
      </c>
      <c r="AY127" s="12">
        <v>644414814.81481504</v>
      </c>
      <c r="AZ127" s="12">
        <v>689285185.18518496</v>
      </c>
      <c r="BA127" s="12">
        <v>777691333.33333302</v>
      </c>
      <c r="BB127" s="12">
        <v>774273111.11111104</v>
      </c>
      <c r="BC127" s="12">
        <v>778718518.51851797</v>
      </c>
      <c r="BD127" s="12">
        <v>836092592.59259295</v>
      </c>
      <c r="BE127" s="12">
        <v>825381481.48148096</v>
      </c>
      <c r="BF127" s="12">
        <v>874896296.296296</v>
      </c>
      <c r="BG127" s="12">
        <v>953166666.66666698</v>
      </c>
      <c r="BH127" s="12">
        <v>957025925.92592597</v>
      </c>
      <c r="BI127" s="12">
        <v>1007348148.14815</v>
      </c>
      <c r="BJ127" s="12">
        <v>1058366666.66667</v>
      </c>
      <c r="BK127" s="12">
        <v>1076240740.7407401</v>
      </c>
      <c r="BL127" s="12">
        <v>1107155555.5555601</v>
      </c>
      <c r="BM127" s="12">
        <v>883933333.33333302</v>
      </c>
      <c r="BN127" s="12">
        <v>858592592.592592</v>
      </c>
      <c r="BO127" s="12">
        <v>965638864.92186701</v>
      </c>
    </row>
    <row r="128" spans="1:67" x14ac:dyDescent="0.2">
      <c r="A128" s="12" t="s">
        <v>107</v>
      </c>
      <c r="B128" s="12" t="s">
        <v>106</v>
      </c>
      <c r="C128" s="12" t="s">
        <v>978</v>
      </c>
      <c r="D128" s="12" t="s">
        <v>979</v>
      </c>
      <c r="E128" s="12">
        <v>3958811881.1881199</v>
      </c>
      <c r="F128" s="12">
        <v>2417628736.5265498</v>
      </c>
      <c r="G128" s="12">
        <v>2814615384.6153798</v>
      </c>
      <c r="H128" s="12">
        <v>3988461538.4615402</v>
      </c>
      <c r="I128" s="12">
        <v>3459019942.7907901</v>
      </c>
      <c r="J128" s="12">
        <v>3120861498.9144201</v>
      </c>
      <c r="K128" s="12">
        <v>3929055143.5021</v>
      </c>
      <c r="L128" s="12">
        <v>4855892445.8268204</v>
      </c>
      <c r="M128" s="12">
        <v>6119394892.3710899</v>
      </c>
      <c r="N128" s="12">
        <v>7678698837.5934601</v>
      </c>
      <c r="O128" s="12">
        <v>9005144969.1166592</v>
      </c>
      <c r="P128" s="12">
        <v>9903571248.5326805</v>
      </c>
      <c r="Q128" s="12">
        <v>10862211760.825199</v>
      </c>
      <c r="R128" s="12">
        <v>13876472208.267799</v>
      </c>
      <c r="S128" s="12">
        <v>19543973941.368099</v>
      </c>
      <c r="T128" s="12">
        <v>21784297520.661201</v>
      </c>
      <c r="U128" s="12">
        <v>29902479338.842999</v>
      </c>
      <c r="V128" s="12">
        <v>38446487603.305801</v>
      </c>
      <c r="W128" s="12">
        <v>51972107438.016502</v>
      </c>
      <c r="X128" s="12">
        <v>66946900826.446297</v>
      </c>
      <c r="Y128" s="12">
        <v>65398377597.510803</v>
      </c>
      <c r="Z128" s="12">
        <v>72933533011.770599</v>
      </c>
      <c r="AA128" s="12">
        <v>78358416171.488907</v>
      </c>
      <c r="AB128" s="12">
        <v>87760553261.927902</v>
      </c>
      <c r="AC128" s="12">
        <v>97510744119.116196</v>
      </c>
      <c r="AD128" s="12">
        <v>101296177099.377</v>
      </c>
      <c r="AE128" s="12">
        <v>116836246284.832</v>
      </c>
      <c r="AF128" s="12">
        <v>147948709376.43399</v>
      </c>
      <c r="AG128" s="12">
        <v>199591287824.77701</v>
      </c>
      <c r="AH128" s="12">
        <v>246928837311.40601</v>
      </c>
      <c r="AI128" s="12">
        <v>283365844161.09198</v>
      </c>
      <c r="AJ128" s="12">
        <v>330647042837.33398</v>
      </c>
      <c r="AK128" s="12">
        <v>355524903068.05603</v>
      </c>
      <c r="AL128" s="12">
        <v>392665710525.41101</v>
      </c>
      <c r="AM128" s="12">
        <v>463619823515.164</v>
      </c>
      <c r="AN128" s="12">
        <v>566581003128.20398</v>
      </c>
      <c r="AO128" s="12">
        <v>610167053824.00696</v>
      </c>
      <c r="AP128" s="12">
        <v>569755022973.03503</v>
      </c>
      <c r="AQ128" s="12">
        <v>383331833681.82098</v>
      </c>
      <c r="AR128" s="12">
        <v>497514040642.26202</v>
      </c>
      <c r="AS128" s="12">
        <v>576179387819.61304</v>
      </c>
      <c r="AT128" s="12">
        <v>547656279894.58698</v>
      </c>
      <c r="AU128" s="12">
        <v>627246933729.61804</v>
      </c>
      <c r="AV128" s="12">
        <v>702714855193.90405</v>
      </c>
      <c r="AW128" s="12">
        <v>793175561887.02698</v>
      </c>
      <c r="AX128" s="12">
        <v>934901071332.98401</v>
      </c>
      <c r="AY128" s="12">
        <v>1053216909887.5601</v>
      </c>
      <c r="AZ128" s="12">
        <v>1172614086539.8601</v>
      </c>
      <c r="BA128" s="12">
        <v>1047339010225.25</v>
      </c>
      <c r="BB128" s="12">
        <v>943941876218.74304</v>
      </c>
      <c r="BC128" s="12">
        <v>1143672241149.72</v>
      </c>
      <c r="BD128" s="12">
        <v>1253289537500.8101</v>
      </c>
      <c r="BE128" s="12">
        <v>1278046536287.01</v>
      </c>
      <c r="BF128" s="12">
        <v>1370632955321.2</v>
      </c>
      <c r="BG128" s="12">
        <v>1484488526271.8</v>
      </c>
      <c r="BH128" s="12">
        <v>1466038936206.4299</v>
      </c>
      <c r="BI128" s="12">
        <v>1499679823909.6101</v>
      </c>
      <c r="BJ128" s="12">
        <v>1623074183501.8999</v>
      </c>
      <c r="BK128" s="12">
        <v>1725373496825.4299</v>
      </c>
      <c r="BL128" s="12">
        <v>1651422932447.77</v>
      </c>
      <c r="BM128" s="12">
        <v>1644312831906.1699</v>
      </c>
      <c r="BN128" s="12">
        <v>1818432106880.04</v>
      </c>
      <c r="BO128" s="12">
        <v>1673916469026.5601</v>
      </c>
    </row>
    <row r="129" spans="1:67" x14ac:dyDescent="0.2">
      <c r="A129" s="12" t="s">
        <v>247</v>
      </c>
      <c r="B129" s="12" t="s">
        <v>246</v>
      </c>
      <c r="C129" s="12" t="s">
        <v>978</v>
      </c>
      <c r="D129" s="12" t="s">
        <v>979</v>
      </c>
      <c r="J129" s="12">
        <v>2097199161.1203401</v>
      </c>
      <c r="K129" s="12">
        <v>2391199043.52038</v>
      </c>
      <c r="L129" s="12">
        <v>2441599023.3603902</v>
      </c>
      <c r="M129" s="12">
        <v>2662798934.8804302</v>
      </c>
      <c r="N129" s="12">
        <v>2769198892.3204398</v>
      </c>
      <c r="O129" s="12">
        <v>2873638850.5444598</v>
      </c>
      <c r="P129" s="12">
        <v>3880392195.4068799</v>
      </c>
      <c r="Q129" s="12">
        <v>4450537925.3318901</v>
      </c>
      <c r="R129" s="12">
        <v>5408804607.3128996</v>
      </c>
      <c r="S129" s="12">
        <v>13006948296.2705</v>
      </c>
      <c r="T129" s="12">
        <v>12022811620.786699</v>
      </c>
      <c r="U129" s="12">
        <v>13132252801.937201</v>
      </c>
      <c r="V129" s="12">
        <v>14137406740.5065</v>
      </c>
      <c r="W129" s="12">
        <v>15503557496.191601</v>
      </c>
      <c r="X129" s="12">
        <v>24749063922.479599</v>
      </c>
      <c r="Y129" s="12">
        <v>28638868355.919601</v>
      </c>
      <c r="Z129" s="12">
        <v>25058020338.253502</v>
      </c>
      <c r="AA129" s="12">
        <v>21577153356.419201</v>
      </c>
      <c r="AB129" s="12">
        <v>20871081080.153801</v>
      </c>
      <c r="AC129" s="12">
        <v>21700082752.936901</v>
      </c>
      <c r="AD129" s="12">
        <v>21445970613.759499</v>
      </c>
      <c r="AE129" s="12">
        <v>17903989745.178001</v>
      </c>
      <c r="AF129" s="12">
        <v>22368704133.666801</v>
      </c>
      <c r="AG129" s="12">
        <v>20690322152.894501</v>
      </c>
      <c r="AH129" s="12">
        <v>24313855653.3993</v>
      </c>
      <c r="AI129" s="12">
        <v>18427777777.777802</v>
      </c>
      <c r="AJ129" s="12">
        <v>11009993703.1474</v>
      </c>
      <c r="AK129" s="12">
        <v>19858555214.7239</v>
      </c>
      <c r="AL129" s="12">
        <v>23941391390.7285</v>
      </c>
      <c r="AM129" s="12">
        <v>24848483838.383801</v>
      </c>
      <c r="AN129" s="12">
        <v>27186980646.5448</v>
      </c>
      <c r="AO129" s="12">
        <v>31492373308.751598</v>
      </c>
      <c r="AP129" s="12">
        <v>30350190704.4361</v>
      </c>
      <c r="AQ129" s="12">
        <v>25943705784.299599</v>
      </c>
      <c r="AR129" s="12">
        <v>30122365849.251801</v>
      </c>
      <c r="AS129" s="12">
        <v>37718743480.075104</v>
      </c>
      <c r="AT129" s="12">
        <v>34889559869.832603</v>
      </c>
      <c r="AU129" s="12">
        <v>38135788413.827599</v>
      </c>
      <c r="AV129" s="12">
        <v>47874582231.587997</v>
      </c>
      <c r="AW129" s="12">
        <v>59439090600.610802</v>
      </c>
      <c r="AX129" s="12">
        <v>80798630136.986298</v>
      </c>
      <c r="AY129" s="12">
        <v>101557330723.423</v>
      </c>
      <c r="AZ129" s="12">
        <v>114634043361.692</v>
      </c>
      <c r="BA129" s="12">
        <v>147379737229.75299</v>
      </c>
      <c r="BB129" s="12">
        <v>105968691905.41499</v>
      </c>
      <c r="BC129" s="12">
        <v>115416580893</v>
      </c>
      <c r="BD129" s="12">
        <v>154079839408.07101</v>
      </c>
      <c r="BE129" s="12">
        <v>174047996684.957</v>
      </c>
      <c r="BF129" s="12">
        <v>174167897908.59299</v>
      </c>
      <c r="BG129" s="12">
        <v>162650272167.89001</v>
      </c>
      <c r="BH129" s="12">
        <v>114585576961.42999</v>
      </c>
      <c r="BI129" s="12">
        <v>109406328917.01401</v>
      </c>
      <c r="BJ129" s="12">
        <v>120687539805.505</v>
      </c>
      <c r="BK129" s="12">
        <v>138202535799.918</v>
      </c>
      <c r="BL129" s="12">
        <v>136191825724.364</v>
      </c>
      <c r="BM129" s="12">
        <v>105948807280.731</v>
      </c>
      <c r="BN129" s="12">
        <v>137384258875.558</v>
      </c>
      <c r="BO129" s="12">
        <v>175363265306.12201</v>
      </c>
    </row>
    <row r="130" spans="1:67" x14ac:dyDescent="0.2">
      <c r="A130" s="12" t="s">
        <v>1036</v>
      </c>
      <c r="B130" s="12" t="s">
        <v>1037</v>
      </c>
      <c r="C130" s="12" t="s">
        <v>978</v>
      </c>
      <c r="D130" s="12" t="s">
        <v>979</v>
      </c>
      <c r="AH130" s="12">
        <v>876428610667.08704</v>
      </c>
      <c r="AI130" s="12">
        <v>1034484672147.54</v>
      </c>
      <c r="AJ130" s="12">
        <v>1095638269672.05</v>
      </c>
      <c r="AK130" s="12">
        <v>1181416426983.1299</v>
      </c>
      <c r="AL130" s="12">
        <v>1418252033554.78</v>
      </c>
      <c r="AM130" s="12">
        <v>1613772281405.5701</v>
      </c>
      <c r="AN130" s="12">
        <v>1697846829141.45</v>
      </c>
      <c r="AO130" s="12">
        <v>1853064187275.03</v>
      </c>
      <c r="AP130" s="12">
        <v>2021893656590.1499</v>
      </c>
      <c r="AQ130" s="12">
        <v>2038842224327.46</v>
      </c>
      <c r="AR130" s="12">
        <v>1810327292197.4399</v>
      </c>
      <c r="AS130" s="12">
        <v>2002282207830.28</v>
      </c>
      <c r="AT130" s="12">
        <v>1952748301924.99</v>
      </c>
      <c r="AU130" s="12">
        <v>1758576865594.3401</v>
      </c>
      <c r="AV130" s="12">
        <v>1795413112644.71</v>
      </c>
      <c r="AW130" s="12">
        <v>2045083492610.1001</v>
      </c>
      <c r="AX130" s="12">
        <v>2471730285037.0698</v>
      </c>
      <c r="AY130" s="12">
        <v>2882204938855.3901</v>
      </c>
      <c r="AZ130" s="12">
        <v>3402756410322.0498</v>
      </c>
      <c r="BA130" s="12">
        <v>3932031090439.4102</v>
      </c>
      <c r="BB130" s="12">
        <v>3645669594935.6001</v>
      </c>
      <c r="BC130" s="12">
        <v>4557840753623.71</v>
      </c>
      <c r="BD130" s="12">
        <v>5320735122195.71</v>
      </c>
      <c r="BE130" s="12">
        <v>5298047169004.0498</v>
      </c>
      <c r="BF130" s="12">
        <v>5435190412910.4199</v>
      </c>
      <c r="BG130" s="12">
        <v>5456297685293.46</v>
      </c>
      <c r="BH130" s="12">
        <v>4636644702280.9102</v>
      </c>
      <c r="BI130" s="12">
        <v>4499238665636.0996</v>
      </c>
      <c r="BJ130" s="12">
        <v>5012709868269.0801</v>
      </c>
      <c r="BK130" s="12">
        <v>4870478423342.9805</v>
      </c>
      <c r="BL130" s="12">
        <v>4805258641141.5898</v>
      </c>
      <c r="BM130" s="12">
        <v>4051085288658.4502</v>
      </c>
      <c r="BN130" s="12">
        <v>4665360652347.5996</v>
      </c>
      <c r="BO130" s="12">
        <v>5352536850675.3496</v>
      </c>
    </row>
    <row r="131" spans="1:67" x14ac:dyDescent="0.2">
      <c r="A131" s="12" t="s">
        <v>257</v>
      </c>
      <c r="B131" s="12" t="s">
        <v>256</v>
      </c>
      <c r="C131" s="12" t="s">
        <v>978</v>
      </c>
      <c r="D131" s="12" t="s">
        <v>979</v>
      </c>
      <c r="AC131" s="12">
        <v>1757142855.91837</v>
      </c>
      <c r="AD131" s="12">
        <v>2366666615.5555601</v>
      </c>
      <c r="AE131" s="12">
        <v>1776842097.16343</v>
      </c>
      <c r="AF131" s="12">
        <v>1087273103.6963899</v>
      </c>
      <c r="AG131" s="12">
        <v>598961269.29787898</v>
      </c>
      <c r="AH131" s="12">
        <v>714046821.09379697</v>
      </c>
      <c r="AI131" s="12">
        <v>865559879.400406</v>
      </c>
      <c r="AJ131" s="12">
        <v>1028087972.31085</v>
      </c>
      <c r="AK131" s="12">
        <v>1127806944.6151299</v>
      </c>
      <c r="AL131" s="12">
        <v>1327748689.88094</v>
      </c>
      <c r="AM131" s="12">
        <v>1543606345.1168399</v>
      </c>
      <c r="AN131" s="12">
        <v>1763536304.5396399</v>
      </c>
      <c r="AO131" s="12">
        <v>1873671550.34636</v>
      </c>
      <c r="AP131" s="12">
        <v>1747011857.3310699</v>
      </c>
      <c r="AQ131" s="12">
        <v>1280177838.7190499</v>
      </c>
      <c r="AR131" s="12">
        <v>1454430642.44959</v>
      </c>
      <c r="AS131" s="12">
        <v>1731198022.4676299</v>
      </c>
      <c r="AT131" s="12">
        <v>1768619058.3464701</v>
      </c>
      <c r="AU131" s="12">
        <v>1758176653.0774601</v>
      </c>
      <c r="AV131" s="12">
        <v>2023324407.2841401</v>
      </c>
      <c r="AW131" s="12">
        <v>2366398119.8632102</v>
      </c>
      <c r="AX131" s="12">
        <v>2735558734.7378998</v>
      </c>
      <c r="AY131" s="12">
        <v>3455031447.6019402</v>
      </c>
      <c r="AZ131" s="12">
        <v>4223152219.2126598</v>
      </c>
      <c r="BA131" s="12">
        <v>5446434031.6789799</v>
      </c>
      <c r="BB131" s="12">
        <v>5836138127.0891199</v>
      </c>
      <c r="BC131" s="12">
        <v>7131773632.6894598</v>
      </c>
      <c r="BD131" s="12">
        <v>8750107401.5538197</v>
      </c>
      <c r="BE131" s="12">
        <v>10192848926.2582</v>
      </c>
      <c r="BF131" s="12">
        <v>11983252626.5452</v>
      </c>
      <c r="BG131" s="12">
        <v>13279248478.6917</v>
      </c>
      <c r="BH131" s="12">
        <v>14426381187.089399</v>
      </c>
      <c r="BI131" s="12">
        <v>15912495368.8717</v>
      </c>
      <c r="BJ131" s="12">
        <v>17071162084.4067</v>
      </c>
      <c r="BK131" s="12">
        <v>18141651381.388401</v>
      </c>
      <c r="BL131" s="12">
        <v>18740559554.1632</v>
      </c>
      <c r="BM131" s="12">
        <v>18981800705.079399</v>
      </c>
      <c r="BN131" s="12">
        <v>18827148528.993401</v>
      </c>
      <c r="BO131" s="12">
        <v>15468785203.753201</v>
      </c>
    </row>
    <row r="132" spans="1:67" x14ac:dyDescent="0.2">
      <c r="A132" s="12" t="s">
        <v>225</v>
      </c>
      <c r="B132" s="12" t="s">
        <v>224</v>
      </c>
      <c r="C132" s="12" t="s">
        <v>978</v>
      </c>
      <c r="D132" s="12" t="s">
        <v>979</v>
      </c>
      <c r="AG132" s="12">
        <v>3313540067.9324598</v>
      </c>
      <c r="AH132" s="12">
        <v>2717998687.7100201</v>
      </c>
      <c r="AI132" s="12">
        <v>2838485353.9618702</v>
      </c>
      <c r="AJ132" s="12">
        <v>4690415092.5366297</v>
      </c>
      <c r="AK132" s="12">
        <v>5843579160.9012203</v>
      </c>
      <c r="AL132" s="12">
        <v>7941744492.2359505</v>
      </c>
      <c r="AM132" s="12">
        <v>9599127050.1755791</v>
      </c>
      <c r="AN132" s="12">
        <v>11718795528.555599</v>
      </c>
      <c r="AO132" s="12">
        <v>13690217333.5879</v>
      </c>
      <c r="AP132" s="12">
        <v>15751867489.444599</v>
      </c>
      <c r="AQ132" s="12">
        <v>17247179005.5219</v>
      </c>
      <c r="AR132" s="12">
        <v>17391056369.226501</v>
      </c>
      <c r="AS132" s="12">
        <v>17260364842.454399</v>
      </c>
      <c r="AT132" s="12">
        <v>17649751243.781101</v>
      </c>
      <c r="AU132" s="12">
        <v>19152238805.9701</v>
      </c>
      <c r="AV132" s="12">
        <v>20082918739.635201</v>
      </c>
      <c r="AW132" s="12">
        <v>21159827992.039799</v>
      </c>
      <c r="AX132" s="12">
        <v>21497336498.8391</v>
      </c>
      <c r="AY132" s="12">
        <v>22022709851.409599</v>
      </c>
      <c r="AZ132" s="12">
        <v>24827355014.9254</v>
      </c>
      <c r="BA132" s="12">
        <v>29118916105.472599</v>
      </c>
      <c r="BB132" s="12">
        <v>35399582928.689903</v>
      </c>
      <c r="BC132" s="12">
        <v>38443907042.122704</v>
      </c>
      <c r="BD132" s="12">
        <v>39927125961.525703</v>
      </c>
      <c r="BE132" s="12">
        <v>44016799515.754601</v>
      </c>
      <c r="BF132" s="12">
        <v>46880103080.597</v>
      </c>
      <c r="BG132" s="12">
        <v>48095213746.600304</v>
      </c>
      <c r="BH132" s="12">
        <v>49929337836.815903</v>
      </c>
      <c r="BI132" s="12">
        <v>51147308774.129402</v>
      </c>
      <c r="BJ132" s="12">
        <v>53027680685.903801</v>
      </c>
      <c r="BK132" s="12">
        <v>54901519155.555603</v>
      </c>
      <c r="BL132" s="12">
        <v>51605959131.274101</v>
      </c>
      <c r="BM132" s="12">
        <v>31712128253.796101</v>
      </c>
      <c r="BN132" s="12">
        <v>23131941556.784302</v>
      </c>
    </row>
    <row r="133" spans="1:67" x14ac:dyDescent="0.2">
      <c r="A133" s="12" t="s">
        <v>321</v>
      </c>
      <c r="B133" s="12" t="s">
        <v>320</v>
      </c>
      <c r="C133" s="12" t="s">
        <v>978</v>
      </c>
      <c r="D133" s="12" t="s">
        <v>979</v>
      </c>
      <c r="AS133" s="12">
        <v>874000000</v>
      </c>
      <c r="AT133" s="12">
        <v>906000000</v>
      </c>
      <c r="AU133" s="12">
        <v>927000000</v>
      </c>
      <c r="AV133" s="12">
        <v>748000000</v>
      </c>
      <c r="AW133" s="12">
        <v>897000000</v>
      </c>
      <c r="AX133" s="12">
        <v>949000000</v>
      </c>
      <c r="AY133" s="12">
        <v>1119000000</v>
      </c>
      <c r="AZ133" s="12">
        <v>1373000000</v>
      </c>
      <c r="BA133" s="12">
        <v>1726000000</v>
      </c>
      <c r="BB133" s="12">
        <v>1768000000</v>
      </c>
      <c r="BC133" s="12">
        <v>1998000000</v>
      </c>
      <c r="BD133" s="12">
        <v>2398000000</v>
      </c>
      <c r="BE133" s="12">
        <v>2791614000</v>
      </c>
      <c r="BF133" s="12">
        <v>3177198100</v>
      </c>
      <c r="BG133" s="12">
        <v>3225652000</v>
      </c>
      <c r="BH133" s="12">
        <v>3227075700</v>
      </c>
      <c r="BI133" s="12">
        <v>3398419600</v>
      </c>
      <c r="BJ133" s="12">
        <v>3390703400</v>
      </c>
      <c r="BK133" s="12">
        <v>3422754800</v>
      </c>
      <c r="BL133" s="12">
        <v>3319596500</v>
      </c>
      <c r="BM133" s="12">
        <v>3039982500</v>
      </c>
      <c r="BN133" s="12">
        <v>3509000000</v>
      </c>
      <c r="BO133" s="12">
        <v>4001046970</v>
      </c>
    </row>
    <row r="134" spans="1:67" x14ac:dyDescent="0.2">
      <c r="A134" s="12" t="s">
        <v>359</v>
      </c>
      <c r="B134" s="12" t="s">
        <v>358</v>
      </c>
      <c r="C134" s="12" t="s">
        <v>978</v>
      </c>
      <c r="D134" s="12" t="s">
        <v>979</v>
      </c>
      <c r="AI134" s="12">
        <v>28904164239.303799</v>
      </c>
      <c r="AJ134" s="12">
        <v>31991785107.457802</v>
      </c>
      <c r="AK134" s="12">
        <v>33887005288.2892</v>
      </c>
      <c r="AL134" s="12">
        <v>30660029871.1833</v>
      </c>
      <c r="AM134" s="12">
        <v>28610532505.232101</v>
      </c>
      <c r="AN134" s="12">
        <v>25541383196.718399</v>
      </c>
      <c r="AO134" s="12">
        <v>27884630117.888699</v>
      </c>
      <c r="AP134" s="12">
        <v>30700890193.419201</v>
      </c>
      <c r="AQ134" s="12">
        <v>27251275902.700699</v>
      </c>
      <c r="AR134" s="12">
        <v>35975878804.294899</v>
      </c>
      <c r="AS134" s="12">
        <v>38270983031.699997</v>
      </c>
      <c r="AT134" s="12">
        <v>34112079628.757198</v>
      </c>
      <c r="AU134" s="12">
        <v>20481889763.779499</v>
      </c>
      <c r="AV134" s="12">
        <v>26265625000</v>
      </c>
      <c r="AW134" s="12">
        <v>33122307692.307701</v>
      </c>
      <c r="AX134" s="12">
        <v>47334697612.430801</v>
      </c>
      <c r="AY134" s="12">
        <v>60094248771.565002</v>
      </c>
      <c r="AZ134" s="12">
        <v>68032985519.099998</v>
      </c>
      <c r="BA134" s="12">
        <v>86710739535.875595</v>
      </c>
      <c r="BB134" s="12">
        <v>60808538331.587502</v>
      </c>
      <c r="BC134" s="12">
        <v>75380800665.202896</v>
      </c>
      <c r="BD134" s="12">
        <v>48169243832.050301</v>
      </c>
      <c r="BE134" s="12">
        <v>92540964666.646301</v>
      </c>
      <c r="BF134" s="12">
        <v>75351117629.3591</v>
      </c>
      <c r="BG134" s="12">
        <v>57372352561.987396</v>
      </c>
      <c r="BH134" s="12">
        <v>48717506273.439903</v>
      </c>
      <c r="BI134" s="12">
        <v>49912085228.288696</v>
      </c>
      <c r="BJ134" s="12">
        <v>67157451661.404999</v>
      </c>
      <c r="BK134" s="12">
        <v>76686048497.480103</v>
      </c>
      <c r="BL134" s="12">
        <v>69254143966.818207</v>
      </c>
      <c r="BM134" s="12">
        <v>46808208746.0839</v>
      </c>
      <c r="BN134" s="12">
        <v>39798423941.033501</v>
      </c>
      <c r="BO134" s="12">
        <v>45752336035.984596</v>
      </c>
    </row>
    <row r="135" spans="1:67" x14ac:dyDescent="0.2">
      <c r="A135" s="12" t="s">
        <v>361</v>
      </c>
      <c r="B135" s="12" t="s">
        <v>360</v>
      </c>
      <c r="C135" s="12" t="s">
        <v>978</v>
      </c>
      <c r="D135" s="12" t="s">
        <v>979</v>
      </c>
      <c r="Y135" s="12">
        <v>170370370.37037</v>
      </c>
      <c r="Z135" s="12">
        <v>194444444.444444</v>
      </c>
      <c r="AA135" s="12">
        <v>183333333.33333299</v>
      </c>
      <c r="AB135" s="12">
        <v>197037037.03703699</v>
      </c>
      <c r="AC135" s="12">
        <v>251481481.48148099</v>
      </c>
      <c r="AD135" s="12">
        <v>284444444.444444</v>
      </c>
      <c r="AE135" s="12">
        <v>340000000</v>
      </c>
      <c r="AF135" s="12">
        <v>375555555.555556</v>
      </c>
      <c r="AG135" s="12">
        <v>429629629.62963003</v>
      </c>
      <c r="AH135" s="12">
        <v>486666666.66666698</v>
      </c>
      <c r="AI135" s="12">
        <v>579629629.62962997</v>
      </c>
      <c r="AJ135" s="12">
        <v>613703703.703704</v>
      </c>
      <c r="AK135" s="12">
        <v>674074074.07407403</v>
      </c>
      <c r="AL135" s="12">
        <v>684814814.81481504</v>
      </c>
      <c r="AM135" s="12">
        <v>713703703.703704</v>
      </c>
      <c r="AN135" s="12">
        <v>762962962.96296299</v>
      </c>
      <c r="AO135" s="12">
        <v>788888888.88888896</v>
      </c>
      <c r="AP135" s="12">
        <v>805925925.92592597</v>
      </c>
      <c r="AQ135" s="12">
        <v>877407407.40740705</v>
      </c>
      <c r="AR135" s="12">
        <v>921851851.85185206</v>
      </c>
      <c r="AS135" s="12">
        <v>932592592.592592</v>
      </c>
      <c r="AT135" s="12">
        <v>892592592.592592</v>
      </c>
      <c r="AU135" s="12">
        <v>900000000</v>
      </c>
      <c r="AV135" s="12">
        <v>987407407.40740705</v>
      </c>
      <c r="AW135" s="12">
        <v>1066666666.66667</v>
      </c>
      <c r="AX135" s="12">
        <v>1135555555.5555601</v>
      </c>
      <c r="AY135" s="12">
        <v>1268319185.18519</v>
      </c>
      <c r="AZ135" s="12">
        <v>1336088814.81481</v>
      </c>
      <c r="BA135" s="12">
        <v>1437731111.11111</v>
      </c>
      <c r="BB135" s="12">
        <v>1401507888.88889</v>
      </c>
      <c r="BC135" s="12">
        <v>1482385185.18519</v>
      </c>
      <c r="BD135" s="12">
        <v>1568370370.3703699</v>
      </c>
      <c r="BE135" s="12">
        <v>1598207407.4074099</v>
      </c>
      <c r="BF135" s="12">
        <v>1660222222.2222199</v>
      </c>
      <c r="BG135" s="12">
        <v>1749288888.88889</v>
      </c>
      <c r="BH135" s="12">
        <v>1807225925.92593</v>
      </c>
      <c r="BI135" s="12">
        <v>1865459259.2592599</v>
      </c>
      <c r="BJ135" s="12">
        <v>1996711111.11111</v>
      </c>
      <c r="BK135" s="12">
        <v>2057066666.6666701</v>
      </c>
      <c r="BL135" s="12">
        <v>2102534000</v>
      </c>
      <c r="BM135" s="12">
        <v>1604444444.4444399</v>
      </c>
      <c r="BN135" s="12">
        <v>1961111111.11111</v>
      </c>
      <c r="BO135" s="12">
        <v>2343703703.7037001</v>
      </c>
    </row>
    <row r="136" spans="1:67" x14ac:dyDescent="0.2">
      <c r="A136" s="12" t="s">
        <v>1038</v>
      </c>
      <c r="B136" s="12" t="s">
        <v>1039</v>
      </c>
      <c r="C136" s="12" t="s">
        <v>978</v>
      </c>
      <c r="D136" s="12" t="s">
        <v>979</v>
      </c>
      <c r="AH136" s="12">
        <v>1007484991031.21</v>
      </c>
      <c r="AI136" s="12">
        <v>1179293266842.22</v>
      </c>
      <c r="AJ136" s="12">
        <v>1254808462964.4399</v>
      </c>
      <c r="AK136" s="12">
        <v>1361272001640.8601</v>
      </c>
      <c r="AL136" s="12">
        <v>1606771008563.3601</v>
      </c>
      <c r="AM136" s="12">
        <v>1815898071015.49</v>
      </c>
      <c r="AN136" s="12">
        <v>1941652491765.78</v>
      </c>
      <c r="AO136" s="12">
        <v>2100974971730.1101</v>
      </c>
      <c r="AP136" s="12">
        <v>2303279560276.5498</v>
      </c>
      <c r="AQ136" s="12">
        <v>2331584223993.1099</v>
      </c>
      <c r="AR136" s="12">
        <v>2107165054124.0901</v>
      </c>
      <c r="AS136" s="12">
        <v>2326883040769.7998</v>
      </c>
      <c r="AT136" s="12">
        <v>2282895964858.3301</v>
      </c>
      <c r="AU136" s="12">
        <v>2053065187772.8</v>
      </c>
      <c r="AV136" s="12">
        <v>2092028240998.6299</v>
      </c>
      <c r="AW136" s="12">
        <v>2405435175136.3999</v>
      </c>
      <c r="AX136" s="12">
        <v>2902949778310.0898</v>
      </c>
      <c r="AY136" s="12">
        <v>3396739151882.8501</v>
      </c>
      <c r="AZ136" s="12">
        <v>3998414040764.9399</v>
      </c>
      <c r="BA136" s="12">
        <v>4643116909844.4697</v>
      </c>
      <c r="BB136" s="12">
        <v>4358132853812.7998</v>
      </c>
      <c r="BC136" s="12">
        <v>5396773607490.71</v>
      </c>
      <c r="BD136" s="12">
        <v>6137582602219.0801</v>
      </c>
      <c r="BE136" s="12">
        <v>6209205490292.9404</v>
      </c>
      <c r="BF136" s="12">
        <v>6360884125593.4902</v>
      </c>
      <c r="BG136" s="12">
        <v>6482208032334.8398</v>
      </c>
      <c r="BH136" s="12">
        <v>5420470092541.4199</v>
      </c>
      <c r="BI136" s="12">
        <v>5285689128986.3398</v>
      </c>
      <c r="BJ136" s="12">
        <v>5866303818641.2305</v>
      </c>
      <c r="BK136" s="12">
        <v>5742577449796.0898</v>
      </c>
      <c r="BL136" s="12">
        <v>5660897574206.2305</v>
      </c>
      <c r="BM136" s="12">
        <v>4809518812031.7598</v>
      </c>
      <c r="BN136" s="12">
        <v>5553340649720.4297</v>
      </c>
      <c r="BO136" s="12">
        <v>6302490414791.9805</v>
      </c>
    </row>
    <row r="137" spans="1:67" x14ac:dyDescent="0.2">
      <c r="A137" s="12" t="s">
        <v>1040</v>
      </c>
      <c r="B137" s="12" t="s">
        <v>1041</v>
      </c>
      <c r="C137" s="12" t="s">
        <v>978</v>
      </c>
      <c r="D137" s="12" t="s">
        <v>979</v>
      </c>
      <c r="Y137" s="12">
        <v>112798542387.666</v>
      </c>
      <c r="Z137" s="12">
        <v>116373431228.03799</v>
      </c>
      <c r="AA137" s="12">
        <v>112572572421.737</v>
      </c>
      <c r="AB137" s="12">
        <v>109638536153.351</v>
      </c>
      <c r="AC137" s="12">
        <v>113853425573.358</v>
      </c>
      <c r="AD137" s="12">
        <v>115816958192.08299</v>
      </c>
      <c r="AE137" s="12">
        <v>125955021493.323</v>
      </c>
      <c r="AF137" s="12">
        <v>137975013687.33301</v>
      </c>
      <c r="AG137" s="12">
        <v>153152269903.12201</v>
      </c>
      <c r="AH137" s="12">
        <v>165044464956.14099</v>
      </c>
      <c r="AI137" s="12">
        <v>191447782563.785</v>
      </c>
      <c r="AJ137" s="12">
        <v>207296430359.80701</v>
      </c>
      <c r="AK137" s="12">
        <v>161050077089.38599</v>
      </c>
      <c r="AL137" s="12">
        <v>166602445152.32501</v>
      </c>
      <c r="AM137" s="12">
        <v>162878396814.33499</v>
      </c>
      <c r="AN137" s="12">
        <v>166415552911.46799</v>
      </c>
      <c r="AO137" s="12">
        <v>173526794921.15799</v>
      </c>
      <c r="AP137" s="12">
        <v>181634076063.836</v>
      </c>
      <c r="AQ137" s="12">
        <v>187264642766.62701</v>
      </c>
      <c r="AR137" s="12">
        <v>193223284195.32001</v>
      </c>
      <c r="AS137" s="12">
        <v>220263948910.854</v>
      </c>
      <c r="AT137" s="12">
        <v>213262604436.078</v>
      </c>
      <c r="AU137" s="12">
        <v>232685383617.86301</v>
      </c>
      <c r="AV137" s="12">
        <v>262856360150.642</v>
      </c>
      <c r="AW137" s="12">
        <v>301584588024.56799</v>
      </c>
      <c r="AX137" s="12">
        <v>356064436753.98999</v>
      </c>
      <c r="AY137" s="12">
        <v>414168874939.04199</v>
      </c>
      <c r="AZ137" s="12">
        <v>499027619223.12903</v>
      </c>
      <c r="BA137" s="12">
        <v>612410999418.21106</v>
      </c>
      <c r="BB137" s="12">
        <v>609398690986.98706</v>
      </c>
      <c r="BC137" s="12">
        <v>689156447072.39099</v>
      </c>
      <c r="BD137" s="12">
        <v>786125168741.60095</v>
      </c>
      <c r="BE137" s="12">
        <v>820559477875.526</v>
      </c>
      <c r="BF137" s="12">
        <v>892340445731.75903</v>
      </c>
      <c r="BG137" s="12">
        <v>959429971624.91699</v>
      </c>
      <c r="BH137" s="12">
        <v>920752377164.50195</v>
      </c>
      <c r="BI137" s="12">
        <v>936414968394.74304</v>
      </c>
      <c r="BJ137" s="12">
        <v>1024932013026.64</v>
      </c>
      <c r="BK137" s="12">
        <v>1090340580865.41</v>
      </c>
      <c r="BL137" s="12">
        <v>1150342153767.9299</v>
      </c>
      <c r="BM137" s="12">
        <v>1160259828981.8101</v>
      </c>
      <c r="BN137" s="12">
        <v>1265336288798.0701</v>
      </c>
      <c r="BO137" s="12">
        <v>1424210446281.73</v>
      </c>
    </row>
    <row r="138" spans="1:67" x14ac:dyDescent="0.2">
      <c r="A138" s="12" t="s">
        <v>969</v>
      </c>
      <c r="B138" s="12" t="s">
        <v>1042</v>
      </c>
      <c r="C138" s="12" t="s">
        <v>978</v>
      </c>
      <c r="D138" s="12" t="s">
        <v>979</v>
      </c>
      <c r="AC138" s="12">
        <v>87425111178.989594</v>
      </c>
      <c r="AD138" s="12">
        <v>84901962219.202393</v>
      </c>
      <c r="AE138" s="12">
        <v>99942166148.647995</v>
      </c>
      <c r="AF138" s="12">
        <v>115229128339.44299</v>
      </c>
      <c r="AG138" s="12">
        <v>103300041061.48</v>
      </c>
      <c r="AH138" s="12">
        <v>113838550737.64999</v>
      </c>
      <c r="AI138" s="12">
        <v>142019403841.80301</v>
      </c>
      <c r="AJ138" s="12">
        <v>162642352018.18301</v>
      </c>
      <c r="AK138" s="12">
        <v>122594083421.674</v>
      </c>
      <c r="AL138" s="12">
        <v>132967386052.424</v>
      </c>
      <c r="AM138" s="12">
        <v>139064181884.32199</v>
      </c>
      <c r="AN138" s="12">
        <v>136436222250.608</v>
      </c>
      <c r="AO138" s="12">
        <v>142086728676.16699</v>
      </c>
      <c r="AP138" s="12">
        <v>152400038393.47501</v>
      </c>
      <c r="AQ138" s="12">
        <v>156190557143.79999</v>
      </c>
      <c r="AR138" s="12">
        <v>159068657091.02399</v>
      </c>
      <c r="AS138" s="12">
        <v>186977879589.539</v>
      </c>
      <c r="AT138" s="12">
        <v>186867658209.96799</v>
      </c>
      <c r="AU138" s="12">
        <v>201275777705.457</v>
      </c>
      <c r="AV138" s="12">
        <v>219661225276.931</v>
      </c>
      <c r="AW138" s="12">
        <v>257944354024.54901</v>
      </c>
      <c r="AX138" s="12">
        <v>308779997460.31403</v>
      </c>
      <c r="AY138" s="12">
        <v>356958432501.05298</v>
      </c>
      <c r="AZ138" s="12">
        <v>429605301499.64203</v>
      </c>
      <c r="BA138" s="12">
        <v>515027838513.97601</v>
      </c>
      <c r="BB138" s="12">
        <v>521828917745.71503</v>
      </c>
      <c r="BC138" s="12">
        <v>578583562423.91296</v>
      </c>
      <c r="BD138" s="12">
        <v>407725419219.10901</v>
      </c>
      <c r="BE138" s="12">
        <v>383346650326.21698</v>
      </c>
      <c r="BF138" s="12">
        <v>394129804738.85999</v>
      </c>
      <c r="BG138" s="12">
        <v>422000842789.133</v>
      </c>
      <c r="BH138" s="12">
        <v>416014457517.65302</v>
      </c>
      <c r="BI138" s="12">
        <v>383674267761.15302</v>
      </c>
      <c r="BJ138" s="12">
        <v>401795856211.474</v>
      </c>
      <c r="BK138" s="12">
        <v>418173076161.26099</v>
      </c>
      <c r="BL138" s="12">
        <v>445190704339.15399</v>
      </c>
      <c r="BM138" s="12">
        <v>438045256317.45599</v>
      </c>
      <c r="BN138" s="12">
        <v>465047139991.79901</v>
      </c>
      <c r="BO138" s="12">
        <v>528124562235.07202</v>
      </c>
    </row>
    <row r="139" spans="1:67" x14ac:dyDescent="0.2">
      <c r="A139" s="12" t="s">
        <v>363</v>
      </c>
      <c r="B139" s="12" t="s">
        <v>362</v>
      </c>
      <c r="C139" s="12" t="s">
        <v>978</v>
      </c>
      <c r="D139" s="12" t="s">
        <v>979</v>
      </c>
      <c r="O139" s="12">
        <v>90099360.843366593</v>
      </c>
      <c r="P139" s="12">
        <v>104889795.333846</v>
      </c>
      <c r="Q139" s="12">
        <v>124940289.32381999</v>
      </c>
      <c r="R139" s="12">
        <v>165928881.55552</v>
      </c>
      <c r="S139" s="12">
        <v>193980464.882101</v>
      </c>
      <c r="T139" s="12">
        <v>246389101.85361299</v>
      </c>
      <c r="U139" s="12">
        <v>272489300.46782702</v>
      </c>
      <c r="V139" s="12">
        <v>303493119.48076302</v>
      </c>
      <c r="W139" s="12">
        <v>436912067.78428698</v>
      </c>
      <c r="X139" s="12">
        <v>503173104.39188701</v>
      </c>
      <c r="Y139" s="12">
        <v>534699362.89616102</v>
      </c>
      <c r="Z139" s="12">
        <v>511647750.124475</v>
      </c>
      <c r="AA139" s="12">
        <v>522096760.29109401</v>
      </c>
      <c r="AB139" s="12">
        <v>524023624.89055002</v>
      </c>
      <c r="AC139" s="12">
        <v>502620991.85294402</v>
      </c>
      <c r="AD139" s="12">
        <v>529073612.45357901</v>
      </c>
      <c r="AE139" s="12">
        <v>779357802.50005996</v>
      </c>
      <c r="AF139" s="12">
        <v>1052848995.97101</v>
      </c>
      <c r="AG139" s="12">
        <v>1161757671.01756</v>
      </c>
      <c r="AH139" s="12">
        <v>1119983801.2133801</v>
      </c>
      <c r="AI139" s="12">
        <v>1421509216.3742399</v>
      </c>
      <c r="AJ139" s="12">
        <v>1484160302.1495199</v>
      </c>
      <c r="AK139" s="12">
        <v>1631177029.4506299</v>
      </c>
      <c r="AL139" s="12">
        <v>1673085244.6879001</v>
      </c>
      <c r="AM139" s="12">
        <v>1948129622.7513199</v>
      </c>
      <c r="AN139" s="12">
        <v>2428525060.6992698</v>
      </c>
      <c r="AO139" s="12">
        <v>2504012993.42238</v>
      </c>
      <c r="AP139" s="12">
        <v>2298389802.8888302</v>
      </c>
      <c r="AQ139" s="12">
        <v>2479699106.0226402</v>
      </c>
      <c r="AR139" s="12">
        <v>2664105901.1886301</v>
      </c>
      <c r="AS139" s="12">
        <v>2483889858.3231201</v>
      </c>
      <c r="AT139" s="12">
        <v>2491800558.7767401</v>
      </c>
      <c r="AU139" s="12">
        <v>2688618747.3814802</v>
      </c>
      <c r="AV139" s="12">
        <v>3070803051.4216399</v>
      </c>
      <c r="AW139" s="12">
        <v>3454373797.7444201</v>
      </c>
      <c r="AX139" s="12">
        <v>3659319116.8805699</v>
      </c>
      <c r="AY139" s="12">
        <v>4000102086.1463499</v>
      </c>
      <c r="AZ139" s="12">
        <v>4601429897.2146797</v>
      </c>
      <c r="BA139" s="12">
        <v>5081479840.0871601</v>
      </c>
      <c r="BB139" s="12">
        <v>4504375348.0703802</v>
      </c>
      <c r="BC139" s="12">
        <v>5082337238.4471798</v>
      </c>
      <c r="BD139" s="12">
        <v>5739706004.8961601</v>
      </c>
      <c r="BE139" s="12">
        <v>5456102482.2861404</v>
      </c>
      <c r="BF139" s="12">
        <v>6391708310.6772699</v>
      </c>
      <c r="BG139" s="12">
        <v>6657526979.7227697</v>
      </c>
      <c r="BH139" s="12">
        <v>6268515276.1744099</v>
      </c>
      <c r="BI139" s="12">
        <v>6237302033.5013199</v>
      </c>
      <c r="BJ139" s="12">
        <v>6474308717.85289</v>
      </c>
      <c r="BK139" s="12">
        <v>6692620691.8414602</v>
      </c>
      <c r="BL139" s="12">
        <v>6436467007.1193199</v>
      </c>
      <c r="BM139" s="12">
        <v>6405870210.3229303</v>
      </c>
      <c r="BN139" s="12">
        <v>7710380085.9225702</v>
      </c>
    </row>
    <row r="140" spans="1:67" x14ac:dyDescent="0.2">
      <c r="A140" s="12" t="s">
        <v>207</v>
      </c>
      <c r="B140" s="12" t="s">
        <v>206</v>
      </c>
      <c r="C140" s="12" t="s">
        <v>978</v>
      </c>
      <c r="D140" s="12" t="s">
        <v>979</v>
      </c>
      <c r="E140" s="12">
        <v>1409873949.5798299</v>
      </c>
      <c r="F140" s="12">
        <v>1444327731.0924399</v>
      </c>
      <c r="G140" s="12">
        <v>1434156378.6008201</v>
      </c>
      <c r="H140" s="12">
        <v>1240672268.9075601</v>
      </c>
      <c r="I140" s="12">
        <v>1309747899.1596601</v>
      </c>
      <c r="J140" s="12">
        <v>1698319327.7310901</v>
      </c>
      <c r="K140" s="12">
        <v>1751470588.2352901</v>
      </c>
      <c r="L140" s="12">
        <v>1859465020.5761299</v>
      </c>
      <c r="M140" s="12">
        <v>1801344537.81513</v>
      </c>
      <c r="N140" s="12">
        <v>1965546218.48739</v>
      </c>
      <c r="O140" s="12">
        <v>2296470588.2352901</v>
      </c>
      <c r="P140" s="12">
        <v>2369308600.3372698</v>
      </c>
      <c r="Q140" s="12">
        <v>2553936348.40871</v>
      </c>
      <c r="R140" s="12">
        <v>2875625000</v>
      </c>
      <c r="S140" s="12">
        <v>3574586466.16541</v>
      </c>
      <c r="T140" s="12">
        <v>3791298145.5064201</v>
      </c>
      <c r="U140" s="12">
        <v>3591319857.3127198</v>
      </c>
      <c r="V140" s="12">
        <v>4104509582.8635898</v>
      </c>
      <c r="W140" s="12">
        <v>2733183856.5022402</v>
      </c>
      <c r="X140" s="12">
        <v>3364611432.2414899</v>
      </c>
      <c r="Y140" s="12">
        <v>4024621899.57653</v>
      </c>
      <c r="Z140" s="12">
        <v>4415844155.8441601</v>
      </c>
      <c r="AA140" s="12">
        <v>4768765016.81884</v>
      </c>
      <c r="AB140" s="12">
        <v>5167913302.16745</v>
      </c>
      <c r="AC140" s="12">
        <v>6043474842.7672901</v>
      </c>
      <c r="AD140" s="12">
        <v>5978460972.0176697</v>
      </c>
      <c r="AE140" s="12">
        <v>6405210563.8829403</v>
      </c>
      <c r="AF140" s="12">
        <v>6682167119.5652199</v>
      </c>
      <c r="AG140" s="12">
        <v>6978371581.2637501</v>
      </c>
      <c r="AH140" s="12">
        <v>6987267683.7725401</v>
      </c>
      <c r="AI140" s="12">
        <v>8032551173.24014</v>
      </c>
      <c r="AJ140" s="12">
        <v>9000362581.5808601</v>
      </c>
      <c r="AK140" s="12">
        <v>9703011635.8658504</v>
      </c>
      <c r="AL140" s="12">
        <v>10338679635.7616</v>
      </c>
      <c r="AM140" s="12">
        <v>11717604208.8223</v>
      </c>
      <c r="AN140" s="12">
        <v>13029697560.975599</v>
      </c>
      <c r="AO140" s="12">
        <v>13897738375.2488</v>
      </c>
      <c r="AP140" s="12">
        <v>15091913883.709101</v>
      </c>
      <c r="AQ140" s="12">
        <v>15794972847.168301</v>
      </c>
      <c r="AR140" s="12">
        <v>15656327859.569599</v>
      </c>
      <c r="AS140" s="12">
        <v>16330814179.976601</v>
      </c>
      <c r="AT140" s="12">
        <v>15749753804.8344</v>
      </c>
      <c r="AU140" s="12">
        <v>16536535647.083401</v>
      </c>
      <c r="AV140" s="12">
        <v>18881765437.215099</v>
      </c>
      <c r="AW140" s="12">
        <v>20662525941.2985</v>
      </c>
      <c r="AX140" s="12">
        <v>24405791044.7761</v>
      </c>
      <c r="AY140" s="12">
        <v>28279802405.913799</v>
      </c>
      <c r="AZ140" s="12">
        <v>32350238760.423901</v>
      </c>
      <c r="BA140" s="12">
        <v>40713826215.0093</v>
      </c>
      <c r="BB140" s="12">
        <v>42066224093.0065</v>
      </c>
      <c r="BC140" s="12">
        <v>58636161081.711998</v>
      </c>
      <c r="BD140" s="12">
        <v>67753284043.9282</v>
      </c>
      <c r="BE140" s="12">
        <v>70447216891.336594</v>
      </c>
      <c r="BF140" s="12">
        <v>77000578167.352997</v>
      </c>
      <c r="BG140" s="12">
        <v>82528535713.925995</v>
      </c>
      <c r="BH140" s="12">
        <v>85140955388.850906</v>
      </c>
      <c r="BI140" s="12">
        <v>88012282205.835693</v>
      </c>
      <c r="BJ140" s="12">
        <v>94376237797.236694</v>
      </c>
      <c r="BK140" s="12">
        <v>94493871200.786896</v>
      </c>
      <c r="BL140" s="12">
        <v>89014978344.140396</v>
      </c>
      <c r="BM140" s="12">
        <v>84440516486.109894</v>
      </c>
      <c r="BN140" s="12">
        <v>88548049121.497192</v>
      </c>
      <c r="BO140" s="12">
        <v>74403578363.435501</v>
      </c>
    </row>
    <row r="141" spans="1:67" x14ac:dyDescent="0.2">
      <c r="A141" s="12" t="s">
        <v>968</v>
      </c>
      <c r="B141" s="12" t="s">
        <v>1043</v>
      </c>
      <c r="C141" s="12" t="s">
        <v>978</v>
      </c>
      <c r="D141" s="12" t="s">
        <v>979</v>
      </c>
      <c r="E141" s="12">
        <v>88053021489.117706</v>
      </c>
      <c r="F141" s="12">
        <v>93212358127.169205</v>
      </c>
      <c r="G141" s="12">
        <v>94672762190.675705</v>
      </c>
      <c r="H141" s="12">
        <v>105240694239.806</v>
      </c>
      <c r="I141" s="12">
        <v>118195775046.422</v>
      </c>
      <c r="J141" s="12">
        <v>127438148871.20399</v>
      </c>
      <c r="K141" s="12">
        <v>117110879145.82201</v>
      </c>
      <c r="L141" s="12">
        <v>125204727481.121</v>
      </c>
      <c r="M141" s="12">
        <v>133817854435.888</v>
      </c>
      <c r="N141" s="12">
        <v>148467779997.68399</v>
      </c>
      <c r="O141" s="12">
        <v>164142405816.01199</v>
      </c>
      <c r="P141" s="12">
        <v>173330985944.35101</v>
      </c>
      <c r="Q141" s="12">
        <v>187947439455.41501</v>
      </c>
      <c r="R141" s="12">
        <v>229149534328.27399</v>
      </c>
      <c r="S141" s="12">
        <v>300323775420.46002</v>
      </c>
      <c r="T141" s="12">
        <v>331387675465.599</v>
      </c>
      <c r="U141" s="12">
        <v>365319354343.58099</v>
      </c>
      <c r="V141" s="12">
        <v>416388468757.85498</v>
      </c>
      <c r="W141" s="12">
        <v>459139973438.43201</v>
      </c>
      <c r="X141" s="12">
        <v>537960364564.19598</v>
      </c>
      <c r="Y141" s="12">
        <v>642109243373.64697</v>
      </c>
      <c r="Z141" s="12">
        <v>774657940569.44495</v>
      </c>
      <c r="AA141" s="12">
        <v>795792603863.16199</v>
      </c>
      <c r="AB141" s="12">
        <v>794874058175.63196</v>
      </c>
      <c r="AC141" s="12">
        <v>778978246242.93799</v>
      </c>
      <c r="AD141" s="12">
        <v>835565991407.66199</v>
      </c>
      <c r="AE141" s="12">
        <v>900871408689.79504</v>
      </c>
      <c r="AF141" s="12">
        <v>884278445847.69104</v>
      </c>
      <c r="AG141" s="12">
        <v>895045529550.55798</v>
      </c>
      <c r="AH141" s="12">
        <v>881105688310.57495</v>
      </c>
      <c r="AI141" s="12">
        <v>944173906354.80896</v>
      </c>
      <c r="AJ141" s="12">
        <v>887480485838.61902</v>
      </c>
      <c r="AK141" s="12">
        <v>918834825591.48901</v>
      </c>
      <c r="AL141" s="12">
        <v>921358929713.11902</v>
      </c>
      <c r="AM141" s="12">
        <v>1001071230831.29</v>
      </c>
      <c r="AN141" s="12">
        <v>1177953044123.6001</v>
      </c>
      <c r="AO141" s="12">
        <v>1340432344565.8501</v>
      </c>
      <c r="AP141" s="12">
        <v>1396543994766.3201</v>
      </c>
      <c r="AQ141" s="12">
        <v>1413627722439.95</v>
      </c>
      <c r="AR141" s="12">
        <v>1312209465423.1299</v>
      </c>
      <c r="AS141" s="12">
        <v>1377689290058.75</v>
      </c>
      <c r="AT141" s="12">
        <v>1414796686586.8301</v>
      </c>
      <c r="AU141" s="12">
        <v>1489796027234.04</v>
      </c>
      <c r="AV141" s="12">
        <v>1703311379683.1599</v>
      </c>
      <c r="AW141" s="12">
        <v>1987707039182.1799</v>
      </c>
      <c r="AX141" s="12">
        <v>2315096942200.1802</v>
      </c>
      <c r="AY141" s="12">
        <v>2718604742250.1401</v>
      </c>
      <c r="AZ141" s="12">
        <v>3355447329844.2002</v>
      </c>
      <c r="BA141" s="12">
        <v>3782293203145.0298</v>
      </c>
      <c r="BB141" s="12">
        <v>3812693386838.1099</v>
      </c>
      <c r="BC141" s="12">
        <v>4566635008993.3203</v>
      </c>
      <c r="BD141" s="12">
        <v>5212391795444.29</v>
      </c>
      <c r="BE141" s="12">
        <v>5492168076118.9502</v>
      </c>
      <c r="BF141" s="12">
        <v>5604827492999.4102</v>
      </c>
      <c r="BG141" s="12">
        <v>5896070873618.9199</v>
      </c>
      <c r="BH141" s="12">
        <v>5746408702559.6904</v>
      </c>
      <c r="BI141" s="12">
        <v>6004441275215.1699</v>
      </c>
      <c r="BJ141" s="12">
        <v>6457236621675.6201</v>
      </c>
      <c r="BK141" s="12">
        <v>6612134450126.96</v>
      </c>
      <c r="BL141" s="12">
        <v>6884143285710.0801</v>
      </c>
      <c r="BM141" s="12">
        <v>6618962128022.9805</v>
      </c>
      <c r="BN141" s="12">
        <v>7595602780154.0596</v>
      </c>
      <c r="BO141" s="12">
        <v>8171521483867.5703</v>
      </c>
    </row>
    <row r="142" spans="1:67" x14ac:dyDescent="0.2">
      <c r="A142" s="12" t="s">
        <v>1044</v>
      </c>
      <c r="B142" s="12" t="s">
        <v>1045</v>
      </c>
      <c r="C142" s="12" t="s">
        <v>978</v>
      </c>
      <c r="D142" s="12" t="s">
        <v>979</v>
      </c>
      <c r="E142" s="12">
        <v>334788568015.76202</v>
      </c>
      <c r="F142" s="12">
        <v>331008146544.328</v>
      </c>
      <c r="G142" s="12">
        <v>335323566201.48499</v>
      </c>
      <c r="H142" s="12">
        <v>368807897648.81702</v>
      </c>
      <c r="I142" s="12">
        <v>419825300164.763</v>
      </c>
      <c r="J142" s="12">
        <v>463017846828.65997</v>
      </c>
      <c r="K142" s="12">
        <v>470788223904.724</v>
      </c>
      <c r="L142" s="12">
        <v>490026006685.961</v>
      </c>
      <c r="M142" s="12">
        <v>514848312386.35602</v>
      </c>
      <c r="N142" s="12">
        <v>573068899802.79297</v>
      </c>
      <c r="O142" s="12">
        <v>632142656464.46704</v>
      </c>
      <c r="P142" s="12">
        <v>673625156879.30798</v>
      </c>
      <c r="Q142" s="12">
        <v>752774644802.06897</v>
      </c>
      <c r="R142" s="12">
        <v>932031627744.30896</v>
      </c>
      <c r="S142" s="12">
        <v>1165896855458</v>
      </c>
      <c r="T142" s="12">
        <v>1324549586135.9399</v>
      </c>
      <c r="U142" s="12">
        <v>1410383456277.24</v>
      </c>
      <c r="V142" s="12">
        <v>1581186222147.8501</v>
      </c>
      <c r="W142" s="12">
        <v>1828690658351</v>
      </c>
      <c r="X142" s="12">
        <v>2204233244571.1802</v>
      </c>
      <c r="Y142" s="12">
        <v>2673344521045.25</v>
      </c>
      <c r="Z142" s="12">
        <v>2975081517881.9199</v>
      </c>
      <c r="AA142" s="12">
        <v>2868144816125.6499</v>
      </c>
      <c r="AB142" s="12">
        <v>2857169374539.6001</v>
      </c>
      <c r="AC142" s="12">
        <v>2917884154367.4302</v>
      </c>
      <c r="AD142" s="12">
        <v>2915983193049.7402</v>
      </c>
      <c r="AE142" s="12">
        <v>2982404603468.7798</v>
      </c>
      <c r="AF142" s="12">
        <v>3157191429463.5898</v>
      </c>
      <c r="AG142" s="12">
        <v>3383504739410.0498</v>
      </c>
      <c r="AH142" s="12">
        <v>3433870332655.8999</v>
      </c>
      <c r="AI142" s="12">
        <v>3845266814913.3901</v>
      </c>
      <c r="AJ142" s="12">
        <v>3729474058134.0298</v>
      </c>
      <c r="AK142" s="12">
        <v>3884678452162.9502</v>
      </c>
      <c r="AL142" s="12">
        <v>4323990622826.8901</v>
      </c>
      <c r="AM142" s="12">
        <v>4507204978805.8496</v>
      </c>
      <c r="AN142" s="12">
        <v>5076506511967.9004</v>
      </c>
      <c r="AO142" s="12">
        <v>5584213182496.21</v>
      </c>
      <c r="AP142" s="12">
        <v>5915241674075.0801</v>
      </c>
      <c r="AQ142" s="12">
        <v>5764016381216.0303</v>
      </c>
      <c r="AR142" s="12">
        <v>5485714203429.4102</v>
      </c>
      <c r="AS142" s="12">
        <v>6011298832456.4502</v>
      </c>
      <c r="AT142" s="12">
        <v>6069516453681.7998</v>
      </c>
      <c r="AU142" s="12">
        <v>6221840918697.9297</v>
      </c>
      <c r="AV142" s="12">
        <v>7004473830358.4697</v>
      </c>
      <c r="AW142" s="12">
        <v>8304624824207.8701</v>
      </c>
      <c r="AX142" s="12">
        <v>9876740540853.2402</v>
      </c>
      <c r="AY142" s="12">
        <v>11711656400998.9</v>
      </c>
      <c r="AZ142" s="12">
        <v>14457809437856.9</v>
      </c>
      <c r="BA142" s="12">
        <v>17286655653820</v>
      </c>
      <c r="BB142" s="12">
        <v>16881981084014</v>
      </c>
      <c r="BC142" s="12">
        <v>20532932317711.301</v>
      </c>
      <c r="BD142" s="12">
        <v>24203406668056.398</v>
      </c>
      <c r="BE142" s="12">
        <v>25758325137354.102</v>
      </c>
      <c r="BF142" s="12">
        <v>27267202768778.699</v>
      </c>
      <c r="BG142" s="12">
        <v>28191791038557.102</v>
      </c>
      <c r="BH142" s="12">
        <v>26720913779941.5</v>
      </c>
      <c r="BI142" s="12">
        <v>26898141910408.898</v>
      </c>
      <c r="BJ142" s="12">
        <v>29546549052259.398</v>
      </c>
      <c r="BK142" s="12">
        <v>31407572198498.699</v>
      </c>
      <c r="BL142" s="12">
        <v>32161964423657</v>
      </c>
      <c r="BM142" s="12">
        <v>31016572707362.301</v>
      </c>
      <c r="BN142" s="12">
        <v>36577654820988.297</v>
      </c>
      <c r="BO142" s="12">
        <v>38810361603320.297</v>
      </c>
    </row>
    <row r="143" spans="1:67" x14ac:dyDescent="0.2">
      <c r="A143" s="12" t="s">
        <v>297</v>
      </c>
      <c r="B143" s="12" t="s">
        <v>296</v>
      </c>
      <c r="C143" s="12" t="s">
        <v>978</v>
      </c>
      <c r="D143" s="12" t="s">
        <v>979</v>
      </c>
      <c r="E143" s="12">
        <v>34579986.168005504</v>
      </c>
      <c r="F143" s="12">
        <v>35699985.720005699</v>
      </c>
      <c r="G143" s="12">
        <v>41859983.256006703</v>
      </c>
      <c r="H143" s="12">
        <v>47039981.184007503</v>
      </c>
      <c r="I143" s="12">
        <v>51939979.224008299</v>
      </c>
      <c r="J143" s="12">
        <v>54879978.0480088</v>
      </c>
      <c r="K143" s="12">
        <v>56699977.320009097</v>
      </c>
      <c r="L143" s="12">
        <v>59261976.295209497</v>
      </c>
      <c r="M143" s="12">
        <v>61445975.421609797</v>
      </c>
      <c r="N143" s="12">
        <v>65967973.612810597</v>
      </c>
      <c r="O143" s="12">
        <v>68739972.504011005</v>
      </c>
      <c r="P143" s="12">
        <v>76480285.004411295</v>
      </c>
      <c r="Q143" s="12">
        <v>80913200.429282203</v>
      </c>
      <c r="R143" s="12">
        <v>121188715.759865</v>
      </c>
      <c r="S143" s="12">
        <v>150851316.52726999</v>
      </c>
      <c r="T143" s="12">
        <v>149558895.914581</v>
      </c>
      <c r="U143" s="12">
        <v>147660036.91500899</v>
      </c>
      <c r="V143" s="12">
        <v>193315048.32876199</v>
      </c>
      <c r="W143" s="12">
        <v>266570066.642517</v>
      </c>
      <c r="X143" s="12">
        <v>290134592.52300698</v>
      </c>
      <c r="Y143" s="12">
        <v>431542536.663782</v>
      </c>
      <c r="Z143" s="12">
        <v>434188034.188034</v>
      </c>
      <c r="AA143" s="12">
        <v>348741683.67384499</v>
      </c>
      <c r="AB143" s="12">
        <v>386699308.85916901</v>
      </c>
      <c r="AC143" s="12">
        <v>333163670.28022498</v>
      </c>
      <c r="AD143" s="12">
        <v>268629925.85280502</v>
      </c>
      <c r="AE143" s="12">
        <v>318858422.98926198</v>
      </c>
      <c r="AF143" s="12">
        <v>402768324.48197103</v>
      </c>
      <c r="AG143" s="12">
        <v>470395800.60066801</v>
      </c>
      <c r="AH143" s="12">
        <v>495409232.62757897</v>
      </c>
      <c r="AI143" s="12">
        <v>596410263.74384904</v>
      </c>
      <c r="AJ143" s="12">
        <v>704325366.71839297</v>
      </c>
      <c r="AK143" s="12">
        <v>831029861.70474601</v>
      </c>
      <c r="AL143" s="12">
        <v>835582062.47616899</v>
      </c>
      <c r="AM143" s="12">
        <v>878250945.28046894</v>
      </c>
      <c r="AN143" s="12">
        <v>1001894000.27846</v>
      </c>
      <c r="AO143" s="12">
        <v>946112492.84484696</v>
      </c>
      <c r="AP143" s="12">
        <v>998004258.715675</v>
      </c>
      <c r="AQ143" s="12">
        <v>928460893.10896504</v>
      </c>
      <c r="AR143" s="12">
        <v>912773681.05064201</v>
      </c>
      <c r="AS143" s="12">
        <v>887291687.92079604</v>
      </c>
      <c r="AT143" s="12">
        <v>825706961.23868895</v>
      </c>
      <c r="AU143" s="12">
        <v>775777238.55814004</v>
      </c>
      <c r="AV143" s="12">
        <v>1157825434.78971</v>
      </c>
      <c r="AW143" s="12">
        <v>1511236655.5204699</v>
      </c>
      <c r="AX143" s="12">
        <v>1682343527.4922099</v>
      </c>
      <c r="AY143" s="12">
        <v>1800092563.7546201</v>
      </c>
      <c r="AZ143" s="12">
        <v>1682131784.5136499</v>
      </c>
      <c r="BA143" s="12">
        <v>1766902709.1993501</v>
      </c>
      <c r="BB143" s="12">
        <v>1740894964.80511</v>
      </c>
      <c r="BC143" s="12">
        <v>2234754241.9191799</v>
      </c>
      <c r="BD143" s="12">
        <v>2579409619.9672198</v>
      </c>
      <c r="BE143" s="12">
        <v>2477702216.2688799</v>
      </c>
      <c r="BF143" s="12">
        <v>2367112931.6420002</v>
      </c>
      <c r="BG143" s="12">
        <v>2441063054.05792</v>
      </c>
      <c r="BH143" s="12">
        <v>2359686724.53829</v>
      </c>
      <c r="BI143" s="12">
        <v>2131522791.45927</v>
      </c>
      <c r="BJ143" s="12">
        <v>2306185472.1486802</v>
      </c>
      <c r="BK143" s="12">
        <v>2556247291.9978499</v>
      </c>
      <c r="BL143" s="12">
        <v>2361966946.2980299</v>
      </c>
      <c r="BM143" s="12">
        <v>2067813018.9946499</v>
      </c>
      <c r="BN143" s="12">
        <v>2348771013.21241</v>
      </c>
      <c r="BO143" s="12">
        <v>2236502124.16956</v>
      </c>
    </row>
    <row r="144" spans="1:67" x14ac:dyDescent="0.2">
      <c r="A144" s="12" t="s">
        <v>1046</v>
      </c>
      <c r="B144" s="12" t="s">
        <v>1047</v>
      </c>
      <c r="C144" s="12" t="s">
        <v>978</v>
      </c>
      <c r="D144" s="12" t="s">
        <v>979</v>
      </c>
      <c r="E144" s="12">
        <v>228240330055.21301</v>
      </c>
      <c r="F144" s="12">
        <v>208214091430.383</v>
      </c>
      <c r="G144" s="12">
        <v>207599833190.88</v>
      </c>
      <c r="H144" s="12">
        <v>220125404425.66901</v>
      </c>
      <c r="I144" s="12">
        <v>254422246967.64099</v>
      </c>
      <c r="J144" s="12">
        <v>289200342493.24402</v>
      </c>
      <c r="K144" s="12">
        <v>313491320968.04901</v>
      </c>
      <c r="L144" s="12">
        <v>307948783972.16199</v>
      </c>
      <c r="M144" s="12">
        <v>307287943447.57202</v>
      </c>
      <c r="N144" s="12">
        <v>344335059160.98401</v>
      </c>
      <c r="O144" s="12">
        <v>391863938743.96503</v>
      </c>
      <c r="P144" s="12">
        <v>430754643822.46899</v>
      </c>
      <c r="Q144" s="12">
        <v>488800984784.88702</v>
      </c>
      <c r="R144" s="12">
        <v>608091981822.52905</v>
      </c>
      <c r="S144" s="12">
        <v>685078858340.86694</v>
      </c>
      <c r="T144" s="12">
        <v>731182805130.42603</v>
      </c>
      <c r="U144" s="12">
        <v>753411388600.54102</v>
      </c>
      <c r="V144" s="12">
        <v>877224021136.85498</v>
      </c>
      <c r="W144" s="12">
        <v>1043277948571.4301</v>
      </c>
      <c r="X144" s="12">
        <v>1291566363804.98</v>
      </c>
      <c r="Y144" s="12">
        <v>1559377035531.98</v>
      </c>
      <c r="Z144" s="12">
        <v>1546362840395.76</v>
      </c>
      <c r="AA144" s="12">
        <v>1495293489123.03</v>
      </c>
      <c r="AB144" s="12">
        <v>1539955400739.0601</v>
      </c>
      <c r="AC144" s="12">
        <v>1573794504890.01</v>
      </c>
      <c r="AD144" s="12">
        <v>1541609775020.71</v>
      </c>
      <c r="AE144" s="12">
        <v>1562632574297.3899</v>
      </c>
      <c r="AF144" s="12">
        <v>1751793679026.95</v>
      </c>
      <c r="AG144" s="12">
        <v>1997489766931.6799</v>
      </c>
      <c r="AH144" s="12">
        <v>2020860832182.5801</v>
      </c>
      <c r="AI144" s="12">
        <v>2067772431705.9099</v>
      </c>
      <c r="AJ144" s="12">
        <v>2069385443007.51</v>
      </c>
      <c r="AK144" s="12">
        <v>2143026607333.8501</v>
      </c>
      <c r="AL144" s="12">
        <v>2343070499930.9702</v>
      </c>
      <c r="AM144" s="12">
        <v>2456571995868.3301</v>
      </c>
      <c r="AN144" s="12">
        <v>3018342023042.3301</v>
      </c>
      <c r="AO144" s="12">
        <v>3329650189927.6802</v>
      </c>
      <c r="AP144" s="12">
        <v>3486564446042.5698</v>
      </c>
      <c r="AQ144" s="12">
        <v>3361126443519.7798</v>
      </c>
      <c r="AR144" s="12">
        <v>3106290269743.5601</v>
      </c>
      <c r="AS144" s="12">
        <v>3410250640092.4502</v>
      </c>
      <c r="AT144" s="12">
        <v>3525028856374.4399</v>
      </c>
      <c r="AU144" s="12">
        <v>3736730866871.46</v>
      </c>
      <c r="AV144" s="12">
        <v>4257868823042.8799</v>
      </c>
      <c r="AW144" s="12">
        <v>5117204587611.4902</v>
      </c>
      <c r="AX144" s="12">
        <v>6172817777582.8604</v>
      </c>
      <c r="AY144" s="12">
        <v>7448573743883.2197</v>
      </c>
      <c r="AZ144" s="12">
        <v>9382447414567.9395</v>
      </c>
      <c r="BA144" s="12">
        <v>11663554908026.1</v>
      </c>
      <c r="BB144" s="12">
        <v>11269257737507.1</v>
      </c>
      <c r="BC144" s="12">
        <v>13564016675239.301</v>
      </c>
      <c r="BD144" s="12">
        <v>16529962129866.801</v>
      </c>
      <c r="BE144" s="12">
        <v>17680182524814.199</v>
      </c>
      <c r="BF144" s="12">
        <v>19041962899425.398</v>
      </c>
      <c r="BG144" s="12">
        <v>19775920760292.699</v>
      </c>
      <c r="BH144" s="12">
        <v>18550504676426.898</v>
      </c>
      <c r="BI144" s="12">
        <v>18593071060820.102</v>
      </c>
      <c r="BJ144" s="12">
        <v>20630645625899.301</v>
      </c>
      <c r="BK144" s="12">
        <v>22622945177203.898</v>
      </c>
      <c r="BL144" s="12">
        <v>23047304219392.898</v>
      </c>
      <c r="BM144" s="12">
        <v>22529291712189.898</v>
      </c>
      <c r="BN144" s="12">
        <v>26841170398812.398</v>
      </c>
      <c r="BO144" s="12">
        <v>28075737913541.5</v>
      </c>
    </row>
    <row r="145" spans="1:67" x14ac:dyDescent="0.2">
      <c r="A145" s="12" t="s">
        <v>169</v>
      </c>
      <c r="B145" s="12" t="s">
        <v>168</v>
      </c>
      <c r="C145" s="12" t="s">
        <v>978</v>
      </c>
      <c r="D145" s="12" t="s">
        <v>979</v>
      </c>
      <c r="AN145" s="12">
        <v>7867140395.3370504</v>
      </c>
      <c r="AO145" s="12">
        <v>8382519637.4622402</v>
      </c>
      <c r="AP145" s="12">
        <v>10118631851.5322</v>
      </c>
      <c r="AQ145" s="12">
        <v>11239547690.9797</v>
      </c>
      <c r="AR145" s="12">
        <v>10971583944.7561</v>
      </c>
      <c r="AS145" s="12">
        <v>11524776866.637899</v>
      </c>
      <c r="AT145" s="12">
        <v>12237388001.7264</v>
      </c>
      <c r="AU145" s="12">
        <v>14259781159.0119</v>
      </c>
      <c r="AV145" s="12">
        <v>18781721376.198502</v>
      </c>
      <c r="AW145" s="12">
        <v>22627507451.5648</v>
      </c>
      <c r="AX145" s="12">
        <v>26097677571.837299</v>
      </c>
      <c r="AY145" s="12">
        <v>30183575103.526199</v>
      </c>
      <c r="AZ145" s="12">
        <v>39697891351.9431</v>
      </c>
      <c r="BA145" s="12">
        <v>47797551587.882301</v>
      </c>
      <c r="BB145" s="12">
        <v>37388122046.149597</v>
      </c>
      <c r="BC145" s="12">
        <v>37128694028.242996</v>
      </c>
      <c r="BD145" s="12">
        <v>43535051482.386902</v>
      </c>
      <c r="BE145" s="12">
        <v>42927454291.477997</v>
      </c>
      <c r="BF145" s="12">
        <v>46523420074.437202</v>
      </c>
      <c r="BG145" s="12">
        <v>48533659592.172798</v>
      </c>
      <c r="BH145" s="12">
        <v>41435533340.388298</v>
      </c>
      <c r="BI145" s="12">
        <v>43047309305.736298</v>
      </c>
      <c r="BJ145" s="12">
        <v>47758736931.780098</v>
      </c>
      <c r="BK145" s="12">
        <v>53751411409.444702</v>
      </c>
      <c r="BL145" s="12">
        <v>54808531641.411697</v>
      </c>
      <c r="BM145" s="12">
        <v>56964942999.365097</v>
      </c>
      <c r="BN145" s="12">
        <v>66798933785.770203</v>
      </c>
      <c r="BO145" s="12">
        <v>70974490450.4944</v>
      </c>
    </row>
    <row r="146" spans="1:67" x14ac:dyDescent="0.2">
      <c r="A146" s="12" t="s">
        <v>165</v>
      </c>
      <c r="B146" s="12" t="s">
        <v>164</v>
      </c>
      <c r="C146" s="12" t="s">
        <v>978</v>
      </c>
      <c r="D146" s="12" t="s">
        <v>979</v>
      </c>
      <c r="E146" s="12">
        <v>703925705.942958</v>
      </c>
      <c r="F146" s="12">
        <v>704145671.35021305</v>
      </c>
      <c r="G146" s="12">
        <v>741509480.79628396</v>
      </c>
      <c r="H146" s="12">
        <v>791140595.77275503</v>
      </c>
      <c r="I146" s="12">
        <v>903158753.94362199</v>
      </c>
      <c r="J146" s="12">
        <v>921600736.30402601</v>
      </c>
      <c r="K146" s="12">
        <v>968440149.47095096</v>
      </c>
      <c r="L146" s="12">
        <v>974721762.53532696</v>
      </c>
      <c r="M146" s="12">
        <v>1066447130.82052</v>
      </c>
      <c r="N146" s="12">
        <v>1234878980.5020001</v>
      </c>
      <c r="O146" s="12">
        <v>1457768455.0221901</v>
      </c>
      <c r="P146" s="12">
        <v>1518773421.3784599</v>
      </c>
      <c r="Q146" s="12">
        <v>1901697369.6269801</v>
      </c>
      <c r="R146" s="12">
        <v>2609875802.1113601</v>
      </c>
      <c r="S146" s="12">
        <v>3183637116.8185601</v>
      </c>
      <c r="T146" s="12">
        <v>3123333333.3333302</v>
      </c>
      <c r="U146" s="12">
        <v>3423586206.8965502</v>
      </c>
      <c r="V146" s="12">
        <v>3789321328.0810399</v>
      </c>
      <c r="W146" s="12">
        <v>4718539771.9994898</v>
      </c>
      <c r="X146" s="12">
        <v>5516982663.7314301</v>
      </c>
      <c r="Y146" s="12">
        <v>6019805490.4124699</v>
      </c>
      <c r="Z146" s="12">
        <v>5053665797.4793596</v>
      </c>
      <c r="AA146" s="12">
        <v>4602316793.2191401</v>
      </c>
      <c r="AB146" s="12">
        <v>4524217751.47929</v>
      </c>
      <c r="AC146" s="12">
        <v>4438435492.8790798</v>
      </c>
      <c r="AD146" s="12">
        <v>4577211767.1037397</v>
      </c>
      <c r="AE146" s="12">
        <v>6685595087.5925598</v>
      </c>
      <c r="AF146" s="12">
        <v>8320902215.0189104</v>
      </c>
      <c r="AG146" s="12">
        <v>9418167855.1837597</v>
      </c>
      <c r="AH146" s="12">
        <v>10037674037.674</v>
      </c>
      <c r="AI146" s="12">
        <v>12778792853.693899</v>
      </c>
      <c r="AJ146" s="12">
        <v>13834219728.292999</v>
      </c>
      <c r="AK146" s="12">
        <v>15518702634.8808</v>
      </c>
      <c r="AL146" s="12">
        <v>15925521222.0149</v>
      </c>
      <c r="AM146" s="12">
        <v>17701798890.7644</v>
      </c>
      <c r="AN146" s="12">
        <v>20853093869.7318</v>
      </c>
      <c r="AO146" s="12">
        <v>20895314657.980499</v>
      </c>
      <c r="AP146" s="12">
        <v>19563836265.223301</v>
      </c>
      <c r="AQ146" s="12">
        <v>20150053345.187801</v>
      </c>
      <c r="AR146" s="12">
        <v>21899317598.8414</v>
      </c>
      <c r="AS146" s="12">
        <v>21230182989.3036</v>
      </c>
      <c r="AT146" s="12">
        <v>21387533703.2327</v>
      </c>
      <c r="AU146" s="12">
        <v>23649833332.165501</v>
      </c>
      <c r="AV146" s="12">
        <v>29667268248.130501</v>
      </c>
      <c r="AW146" s="12">
        <v>35064843792.8993</v>
      </c>
      <c r="AX146" s="12">
        <v>37672280120.479401</v>
      </c>
      <c r="AY146" s="12">
        <v>42910146296.064598</v>
      </c>
      <c r="AZ146" s="12">
        <v>51587401415.787201</v>
      </c>
      <c r="BA146" s="12">
        <v>58844277701.525803</v>
      </c>
      <c r="BB146" s="12">
        <v>54467289897.558197</v>
      </c>
      <c r="BC146" s="12">
        <v>56213985987.416801</v>
      </c>
      <c r="BD146" s="12">
        <v>61696281326.2453</v>
      </c>
      <c r="BE146" s="12">
        <v>59776383527.360199</v>
      </c>
      <c r="BF146" s="12">
        <v>65203276466.976303</v>
      </c>
      <c r="BG146" s="12">
        <v>68804811897.644501</v>
      </c>
      <c r="BH146" s="12">
        <v>60071584216.137497</v>
      </c>
      <c r="BI146" s="12">
        <v>62216885435.948799</v>
      </c>
      <c r="BJ146" s="12">
        <v>65712180342.983597</v>
      </c>
      <c r="BK146" s="12">
        <v>71000359760.461105</v>
      </c>
      <c r="BL146" s="12">
        <v>69890505323.584198</v>
      </c>
      <c r="BM146" s="12">
        <v>73699366700.213394</v>
      </c>
      <c r="BN146" s="12">
        <v>85584105993.874603</v>
      </c>
      <c r="BO146" s="12">
        <v>81641807865.759094</v>
      </c>
    </row>
    <row r="147" spans="1:67" x14ac:dyDescent="0.2">
      <c r="A147" s="12" t="s">
        <v>155</v>
      </c>
      <c r="B147" s="12" t="s">
        <v>154</v>
      </c>
      <c r="C147" s="12" t="s">
        <v>978</v>
      </c>
      <c r="D147" s="12" t="s">
        <v>979</v>
      </c>
      <c r="AN147" s="12">
        <v>5789128636.6229296</v>
      </c>
      <c r="AO147" s="12">
        <v>5975248851.4548197</v>
      </c>
      <c r="AP147" s="12">
        <v>6527926445.6810999</v>
      </c>
      <c r="AQ147" s="12">
        <v>7166275467.6516104</v>
      </c>
      <c r="AR147" s="12">
        <v>7533788133.5575304</v>
      </c>
      <c r="AS147" s="12">
        <v>7958852838.9339504</v>
      </c>
      <c r="AT147" s="12">
        <v>8362398701.5894299</v>
      </c>
      <c r="AU147" s="12">
        <v>9557031605.2751198</v>
      </c>
      <c r="AV147" s="12">
        <v>11771975156.807301</v>
      </c>
      <c r="AW147" s="12">
        <v>14435700533.368</v>
      </c>
      <c r="AX147" s="12">
        <v>17003459863.0989</v>
      </c>
      <c r="AY147" s="12">
        <v>21570076498.620499</v>
      </c>
      <c r="AZ147" s="12">
        <v>31054350977.978401</v>
      </c>
      <c r="BA147" s="12">
        <v>35854274228.913902</v>
      </c>
      <c r="BB147" s="12">
        <v>26410909090.9091</v>
      </c>
      <c r="BC147" s="12">
        <v>23956163076.557499</v>
      </c>
      <c r="BD147" s="12">
        <v>27474380566.264999</v>
      </c>
      <c r="BE147" s="12">
        <v>28169902669.378399</v>
      </c>
      <c r="BF147" s="12">
        <v>30204783461.848801</v>
      </c>
      <c r="BG147" s="12">
        <v>31386896487.040699</v>
      </c>
      <c r="BH147" s="12">
        <v>27263090547.061699</v>
      </c>
      <c r="BI147" s="12">
        <v>28083597512.4841</v>
      </c>
      <c r="BJ147" s="12">
        <v>30483806017.831799</v>
      </c>
      <c r="BK147" s="12">
        <v>34429023435.021103</v>
      </c>
      <c r="BL147" s="12">
        <v>34225547537.074501</v>
      </c>
      <c r="BM147" s="12">
        <v>34390910338.960403</v>
      </c>
      <c r="BN147" s="12">
        <v>39443126174.433502</v>
      </c>
      <c r="BO147" s="12">
        <v>40932030049.5644</v>
      </c>
    </row>
    <row r="148" spans="1:67" x14ac:dyDescent="0.2">
      <c r="A148" s="12" t="s">
        <v>1048</v>
      </c>
      <c r="B148" s="12" t="s">
        <v>1049</v>
      </c>
      <c r="C148" s="12" t="s">
        <v>978</v>
      </c>
      <c r="D148" s="12" t="s">
        <v>979</v>
      </c>
      <c r="AA148" s="12">
        <v>1142497718.77916</v>
      </c>
      <c r="AB148" s="12">
        <v>1133013235.10045</v>
      </c>
      <c r="AC148" s="12">
        <v>1304361353.2702401</v>
      </c>
      <c r="AD148" s="12">
        <v>1362072159.9451499</v>
      </c>
      <c r="AE148" s="12">
        <v>1532105070.1858101</v>
      </c>
      <c r="AF148" s="12">
        <v>1957724829.35921</v>
      </c>
      <c r="AG148" s="12">
        <v>2288761822.5125699</v>
      </c>
      <c r="AH148" s="12">
        <v>2705665492.0167499</v>
      </c>
      <c r="AI148" s="12">
        <v>3246481233.2439699</v>
      </c>
      <c r="AJ148" s="12">
        <v>3765249711.0909801</v>
      </c>
      <c r="AK148" s="12">
        <v>4914365189.04984</v>
      </c>
      <c r="AL148" s="12">
        <v>5665606114.8031702</v>
      </c>
      <c r="AM148" s="12">
        <v>6311207779.9244099</v>
      </c>
      <c r="AN148" s="12">
        <v>7046147736.9167099</v>
      </c>
      <c r="AO148" s="12">
        <v>7176892950.3916397</v>
      </c>
      <c r="AP148" s="12">
        <v>7267570892.7021103</v>
      </c>
      <c r="AQ148" s="12">
        <v>6797792190.1968098</v>
      </c>
      <c r="AR148" s="12">
        <v>6547670439.2600002</v>
      </c>
      <c r="AS148" s="12">
        <v>6774193548.3871002</v>
      </c>
      <c r="AT148" s="12">
        <v>6860272608.4521103</v>
      </c>
      <c r="AU148" s="12">
        <v>7371692774.4340401</v>
      </c>
      <c r="AV148" s="12">
        <v>8246479565.9424801</v>
      </c>
      <c r="AW148" s="12">
        <v>10643253553.184</v>
      </c>
      <c r="AX148" s="12">
        <v>12160056122.3757</v>
      </c>
      <c r="AY148" s="12">
        <v>14874098691.908199</v>
      </c>
      <c r="AZ148" s="12">
        <v>18439981612.4086</v>
      </c>
      <c r="BA148" s="12">
        <v>21027018332.666302</v>
      </c>
      <c r="BB148" s="12">
        <v>21587786905.849899</v>
      </c>
      <c r="BC148" s="12">
        <v>28241798491.592999</v>
      </c>
      <c r="BD148" s="12">
        <v>36845888757.188599</v>
      </c>
      <c r="BE148" s="12">
        <v>43189721376.984596</v>
      </c>
      <c r="BF148" s="12">
        <v>51536595089.279297</v>
      </c>
      <c r="BG148" s="12">
        <v>54902831793.501801</v>
      </c>
      <c r="BH148" s="12">
        <v>45048190598.324898</v>
      </c>
      <c r="BI148" s="12">
        <v>45070808688.961098</v>
      </c>
      <c r="BJ148" s="12">
        <v>50383871120.873299</v>
      </c>
      <c r="BK148" s="12">
        <v>55190661339.779602</v>
      </c>
      <c r="BL148" s="12">
        <v>55082293844.1008</v>
      </c>
      <c r="BM148" s="12">
        <v>25343525935.8358</v>
      </c>
      <c r="BN148" s="12">
        <v>30969334705.051498</v>
      </c>
      <c r="BO148" s="12">
        <v>24042287326.572899</v>
      </c>
    </row>
    <row r="149" spans="1:67" x14ac:dyDescent="0.2">
      <c r="A149" s="12" t="s">
        <v>1050</v>
      </c>
      <c r="B149" s="12" t="s">
        <v>1051</v>
      </c>
      <c r="C149" s="12" t="s">
        <v>978</v>
      </c>
      <c r="D149" s="12" t="s">
        <v>979</v>
      </c>
      <c r="BD149" s="12">
        <v>775875748.52383196</v>
      </c>
      <c r="BG149" s="12">
        <v>772921958.52950895</v>
      </c>
      <c r="BL149" s="12">
        <v>652206037.10387397</v>
      </c>
      <c r="BN149" s="12">
        <v>649206262.84751904</v>
      </c>
    </row>
    <row r="150" spans="1:67" x14ac:dyDescent="0.2">
      <c r="A150" s="12" t="s">
        <v>81</v>
      </c>
      <c r="B150" s="12" t="s">
        <v>80</v>
      </c>
      <c r="C150" s="12" t="s">
        <v>978</v>
      </c>
      <c r="D150" s="12" t="s">
        <v>979</v>
      </c>
      <c r="E150" s="12">
        <v>2037154741.9321101</v>
      </c>
      <c r="F150" s="12">
        <v>2025693539.5584199</v>
      </c>
      <c r="G150" s="12">
        <v>2379611124.6144199</v>
      </c>
      <c r="H150" s="12">
        <v>2657252578.3076301</v>
      </c>
      <c r="I150" s="12">
        <v>2798345298.5778098</v>
      </c>
      <c r="J150" s="12">
        <v>2948331090.4675202</v>
      </c>
      <c r="K150" s="12">
        <v>2876401297.1075902</v>
      </c>
      <c r="L150" s="12">
        <v>3046345314.3865499</v>
      </c>
      <c r="M150" s="12">
        <v>3271422332.6199598</v>
      </c>
      <c r="N150" s="12">
        <v>3651622668.9510298</v>
      </c>
      <c r="O150" s="12">
        <v>3956336244.11865</v>
      </c>
      <c r="P150" s="12">
        <v>4356669034.34266</v>
      </c>
      <c r="Q150" s="12">
        <v>5074117544.7748203</v>
      </c>
      <c r="R150" s="12">
        <v>6242145880.0887604</v>
      </c>
      <c r="S150" s="12">
        <v>7675466449.3553104</v>
      </c>
      <c r="T150" s="12">
        <v>8984853005.0805798</v>
      </c>
      <c r="U150" s="12">
        <v>9584297284.2831593</v>
      </c>
      <c r="V150" s="12">
        <v>11049783871.8144</v>
      </c>
      <c r="W150" s="12">
        <v>13236946233.575899</v>
      </c>
      <c r="X150" s="12">
        <v>15911994817.310699</v>
      </c>
      <c r="Y150" s="12">
        <v>21728516153.090698</v>
      </c>
      <c r="Z150" s="12">
        <v>17788185478.944</v>
      </c>
      <c r="AA150" s="12">
        <v>17692276734.171001</v>
      </c>
      <c r="AB150" s="12">
        <v>16251408127.5735</v>
      </c>
      <c r="AC150" s="12">
        <v>14824667954.367399</v>
      </c>
      <c r="AD150" s="12">
        <v>14991283215.740801</v>
      </c>
      <c r="AE150" s="12">
        <v>19462085540.223099</v>
      </c>
      <c r="AF150" s="12">
        <v>21765195948.188999</v>
      </c>
      <c r="AG150" s="12">
        <v>25705296183.5037</v>
      </c>
      <c r="AH150" s="12">
        <v>26314313191.182598</v>
      </c>
      <c r="AI150" s="12">
        <v>30179954774.989899</v>
      </c>
      <c r="AJ150" s="12">
        <v>32285573573.918499</v>
      </c>
      <c r="AK150" s="12">
        <v>33711069430.779999</v>
      </c>
      <c r="AL150" s="12">
        <v>31655473663.834801</v>
      </c>
      <c r="AM150" s="12">
        <v>35604137422.579597</v>
      </c>
      <c r="AN150" s="12">
        <v>39030285468.384102</v>
      </c>
      <c r="AO150" s="12">
        <v>43161571527.6353</v>
      </c>
      <c r="AP150" s="12">
        <v>39147844526.083801</v>
      </c>
      <c r="AQ150" s="12">
        <v>46497608724.986504</v>
      </c>
      <c r="AR150" s="12">
        <v>46266428648.143303</v>
      </c>
      <c r="AS150" s="12">
        <v>43017455401.844498</v>
      </c>
      <c r="AT150" s="12">
        <v>43831480207.644402</v>
      </c>
      <c r="AU150" s="12">
        <v>47077192187.6418</v>
      </c>
      <c r="AV150" s="12">
        <v>58029363354.275703</v>
      </c>
      <c r="AW150" s="12">
        <v>66114145451.006699</v>
      </c>
      <c r="AX150" s="12">
        <v>68852658068.667297</v>
      </c>
      <c r="AY150" s="12">
        <v>75883823300.854507</v>
      </c>
      <c r="AZ150" s="12">
        <v>86947913286.727997</v>
      </c>
      <c r="BA150" s="12">
        <v>101822906949.063</v>
      </c>
      <c r="BB150" s="12">
        <v>101154952240.881</v>
      </c>
      <c r="BC150" s="12">
        <v>100865329473.44</v>
      </c>
      <c r="BD150" s="12">
        <v>110080631332.375</v>
      </c>
      <c r="BE150" s="12">
        <v>106937392311.129</v>
      </c>
      <c r="BF150" s="12">
        <v>115739287305.08</v>
      </c>
      <c r="BG150" s="12">
        <v>119130841411.664</v>
      </c>
      <c r="BH150" s="12">
        <v>110413823841.592</v>
      </c>
      <c r="BI150" s="12">
        <v>111572947004.91701</v>
      </c>
      <c r="BJ150" s="12">
        <v>118540573367.84399</v>
      </c>
      <c r="BK150" s="12">
        <v>127341147581.81799</v>
      </c>
      <c r="BL150" s="12">
        <v>128920266409.45799</v>
      </c>
      <c r="BM150" s="12">
        <v>121353645057.144</v>
      </c>
      <c r="BN150" s="12">
        <v>141817797083.46799</v>
      </c>
      <c r="BO150" s="12">
        <v>130912558829.84</v>
      </c>
    </row>
    <row r="151" spans="1:67" x14ac:dyDescent="0.2">
      <c r="A151" s="12" t="s">
        <v>365</v>
      </c>
      <c r="B151" s="12" t="s">
        <v>364</v>
      </c>
      <c r="C151" s="12" t="s">
        <v>978</v>
      </c>
      <c r="D151" s="12" t="s">
        <v>979</v>
      </c>
      <c r="O151" s="12">
        <v>293127333.238065</v>
      </c>
      <c r="P151" s="12">
        <v>327706210.43521702</v>
      </c>
      <c r="Q151" s="12">
        <v>402451900.82128799</v>
      </c>
      <c r="R151" s="12">
        <v>523554039.20320803</v>
      </c>
      <c r="S151" s="12">
        <v>563949254.11403406</v>
      </c>
      <c r="T151" s="12">
        <v>711978961.89367402</v>
      </c>
      <c r="U151" s="12">
        <v>735324244.66739702</v>
      </c>
      <c r="V151" s="12">
        <v>811191392.22427702</v>
      </c>
      <c r="W151" s="12">
        <v>1000555218.0320899</v>
      </c>
      <c r="X151" s="12">
        <v>1209870147.4909899</v>
      </c>
      <c r="Y151" s="12">
        <v>1378175524.11186</v>
      </c>
      <c r="Z151" s="12">
        <v>1205188647.9316299</v>
      </c>
      <c r="AA151" s="12">
        <v>1143216456.56796</v>
      </c>
      <c r="AB151" s="12">
        <v>1092560364.5195899</v>
      </c>
      <c r="AC151" s="12">
        <v>1037329604.3510799</v>
      </c>
      <c r="AD151" s="12">
        <v>1082867507.3314199</v>
      </c>
      <c r="AE151" s="12">
        <v>1515234743.47367</v>
      </c>
      <c r="AF151" s="12">
        <v>1839081463.2767601</v>
      </c>
      <c r="AG151" s="12">
        <v>2000704744.91538</v>
      </c>
      <c r="AH151" s="12">
        <v>2010083833.1726</v>
      </c>
      <c r="AI151" s="12">
        <v>2481307077.10989</v>
      </c>
      <c r="AJ151" s="12">
        <v>2480540845.3324199</v>
      </c>
      <c r="AK151" s="12">
        <v>2737049230.7044201</v>
      </c>
      <c r="AL151" s="12">
        <v>2574494355.7335701</v>
      </c>
      <c r="AM151" s="12">
        <v>2720332134.5362301</v>
      </c>
      <c r="AN151" s="12">
        <v>3130309995.3084798</v>
      </c>
      <c r="AO151" s="12">
        <v>3137886994.5220699</v>
      </c>
      <c r="AP151" s="12">
        <v>2840195190.36905</v>
      </c>
      <c r="AQ151" s="12">
        <v>2934593467.6858902</v>
      </c>
      <c r="AR151" s="12">
        <v>2907118641.1775599</v>
      </c>
      <c r="AS151" s="12">
        <v>2654462665.26893</v>
      </c>
      <c r="AT151" s="12">
        <v>2673723033.7123899</v>
      </c>
      <c r="AU151" s="12">
        <v>2919647981.8147302</v>
      </c>
      <c r="AV151" s="12">
        <v>3597089750.7827601</v>
      </c>
      <c r="AW151" s="12">
        <v>4043551488.8260298</v>
      </c>
      <c r="AX151" s="12">
        <v>4204652898.73103</v>
      </c>
      <c r="AY151" s="12">
        <v>4586826512.7135601</v>
      </c>
      <c r="AZ151" s="12">
        <v>5875790766.2621002</v>
      </c>
      <c r="BA151" s="12">
        <v>6502942244.9306803</v>
      </c>
      <c r="BB151" s="12">
        <v>5474379252.3411398</v>
      </c>
      <c r="BC151" s="12">
        <v>5367561569.59548</v>
      </c>
      <c r="BD151" s="12">
        <v>6088689808.3834696</v>
      </c>
      <c r="BE151" s="12">
        <v>5742749294.0085201</v>
      </c>
      <c r="BF151" s="12">
        <v>6555591709.88585</v>
      </c>
      <c r="BG151" s="12">
        <v>7069353073.0888205</v>
      </c>
      <c r="BH151" s="12">
        <v>6261649890.8238802</v>
      </c>
      <c r="BI151" s="12">
        <v>6465645584.9487696</v>
      </c>
      <c r="BJ151" s="12">
        <v>6431271365.0833797</v>
      </c>
      <c r="BK151" s="12">
        <v>7182444409.5406904</v>
      </c>
      <c r="BL151" s="12">
        <v>7383944044.1700001</v>
      </c>
      <c r="BM151" s="12">
        <v>6739645416.4791603</v>
      </c>
      <c r="BN151" s="12">
        <v>8626081320.5061207</v>
      </c>
      <c r="BO151" s="12">
        <v>8784002931.6866493</v>
      </c>
    </row>
    <row r="152" spans="1:67" x14ac:dyDescent="0.2">
      <c r="A152" s="12" t="s">
        <v>159</v>
      </c>
      <c r="B152" s="12" t="s">
        <v>158</v>
      </c>
      <c r="C152" s="12" t="s">
        <v>978</v>
      </c>
      <c r="D152" s="12" t="s">
        <v>979</v>
      </c>
      <c r="AN152" s="12">
        <v>1752979926.4148901</v>
      </c>
      <c r="AO152" s="12">
        <v>1695122173.9130399</v>
      </c>
      <c r="AP152" s="12">
        <v>1930081168.8311701</v>
      </c>
      <c r="AQ152" s="12">
        <v>1698717504.6554899</v>
      </c>
      <c r="AR152" s="12">
        <v>1170782957.3744299</v>
      </c>
      <c r="AS152" s="12">
        <v>1288429391.79951</v>
      </c>
      <c r="AT152" s="12">
        <v>1480673594.05602</v>
      </c>
      <c r="AU152" s="12">
        <v>1661818168.4226</v>
      </c>
      <c r="AV152" s="12">
        <v>1980907434.76826</v>
      </c>
      <c r="AW152" s="12">
        <v>2598249555.8998399</v>
      </c>
      <c r="AX152" s="12">
        <v>2988342907.0309601</v>
      </c>
      <c r="AY152" s="12">
        <v>3408255450.5509</v>
      </c>
      <c r="AZ152" s="12">
        <v>4401173151.9376698</v>
      </c>
      <c r="BA152" s="12">
        <v>6054824248.2422104</v>
      </c>
      <c r="BB152" s="12">
        <v>5439434271.7880697</v>
      </c>
      <c r="BC152" s="12">
        <v>6974982369.6015501</v>
      </c>
      <c r="BD152" s="12">
        <v>8414352020.4944201</v>
      </c>
      <c r="BE152" s="12">
        <v>8709138634.8292103</v>
      </c>
      <c r="BF152" s="12">
        <v>9496717875.5193195</v>
      </c>
      <c r="BG152" s="12">
        <v>9399833207.4934101</v>
      </c>
      <c r="BH152" s="12">
        <v>7798692878.4013596</v>
      </c>
      <c r="BI152" s="12">
        <v>7982450758.0321302</v>
      </c>
      <c r="BJ152" s="12">
        <v>9519053158.4640408</v>
      </c>
      <c r="BK152" s="12">
        <v>11253727815.4762</v>
      </c>
      <c r="BL152" s="12">
        <v>11735774634.423901</v>
      </c>
      <c r="BM152" s="12">
        <v>11531967881.062401</v>
      </c>
      <c r="BN152" s="12">
        <v>13692230147.0588</v>
      </c>
      <c r="BO152" s="12">
        <v>14508333280.4233</v>
      </c>
    </row>
    <row r="153" spans="1:67" x14ac:dyDescent="0.2">
      <c r="A153" s="12" t="s">
        <v>319</v>
      </c>
      <c r="B153" s="12" t="s">
        <v>318</v>
      </c>
      <c r="C153" s="12" t="s">
        <v>978</v>
      </c>
      <c r="D153" s="12" t="s">
        <v>979</v>
      </c>
      <c r="E153" s="12">
        <v>673081724.75116801</v>
      </c>
      <c r="F153" s="12">
        <v>699161944.558097</v>
      </c>
      <c r="G153" s="12">
        <v>739286907.59277797</v>
      </c>
      <c r="H153" s="12">
        <v>759345863.73266697</v>
      </c>
      <c r="I153" s="12">
        <v>802482183.728778</v>
      </c>
      <c r="J153" s="12">
        <v>833563472.99810004</v>
      </c>
      <c r="K153" s="12">
        <v>900264584.59082901</v>
      </c>
      <c r="L153" s="12">
        <v>956436932.10129094</v>
      </c>
      <c r="M153" s="12">
        <v>1031669637.39553</v>
      </c>
      <c r="N153" s="12">
        <v>1056391055.5961699</v>
      </c>
      <c r="O153" s="12">
        <v>1111859570.88252</v>
      </c>
      <c r="P153" s="12">
        <v>1199507631.07603</v>
      </c>
      <c r="Q153" s="12">
        <v>1341590690.41365</v>
      </c>
      <c r="R153" s="12">
        <v>1653062335.0028601</v>
      </c>
      <c r="S153" s="12">
        <v>1917508190.04689</v>
      </c>
      <c r="T153" s="12">
        <v>2283049215.3533902</v>
      </c>
      <c r="U153" s="12">
        <v>2181844178.5534</v>
      </c>
      <c r="V153" s="12">
        <v>2358930406.0689001</v>
      </c>
      <c r="W153" s="12">
        <v>2669755115.1093502</v>
      </c>
      <c r="X153" s="12">
        <v>3463565853.8102298</v>
      </c>
      <c r="Y153" s="12">
        <v>5201818347.7988195</v>
      </c>
      <c r="Z153" s="12">
        <v>4759333998.3674603</v>
      </c>
      <c r="AA153" s="12">
        <v>4784977325.9580297</v>
      </c>
      <c r="AB153" s="12">
        <v>4686457031.2269001</v>
      </c>
      <c r="AC153" s="12">
        <v>3905938480.8611898</v>
      </c>
      <c r="AD153" s="12">
        <v>3802557894.8719001</v>
      </c>
      <c r="AE153" s="12">
        <v>4347989788.0925703</v>
      </c>
      <c r="AF153" s="12">
        <v>3212900555.8091002</v>
      </c>
      <c r="AG153" s="12">
        <v>3189456965.0482001</v>
      </c>
      <c r="AH153" s="12">
        <v>3175638332.6447101</v>
      </c>
      <c r="AI153" s="12">
        <v>3931334875.0137601</v>
      </c>
      <c r="AJ153" s="12">
        <v>3254713056.0217099</v>
      </c>
      <c r="AK153" s="12">
        <v>3714966678.3338099</v>
      </c>
      <c r="AL153" s="12">
        <v>4063298919.2867999</v>
      </c>
      <c r="AM153" s="12">
        <v>3522227092.2283902</v>
      </c>
      <c r="AN153" s="12">
        <v>3838100903.7497401</v>
      </c>
      <c r="AO153" s="12">
        <v>4931861038.7076302</v>
      </c>
      <c r="AP153" s="12">
        <v>4262965419.74998</v>
      </c>
      <c r="AQ153" s="12">
        <v>4401967632.7371798</v>
      </c>
      <c r="AR153" s="12">
        <v>4277903780.2913098</v>
      </c>
      <c r="AS153" s="12">
        <v>4629247203.8452396</v>
      </c>
      <c r="AT153" s="12">
        <v>5438332601.90798</v>
      </c>
      <c r="AU153" s="12">
        <v>5351701663.4080696</v>
      </c>
      <c r="AV153" s="12">
        <v>6372498889.6658497</v>
      </c>
      <c r="AW153" s="12">
        <v>5064732626.29389</v>
      </c>
      <c r="AX153" s="12">
        <v>5859269752.6133204</v>
      </c>
      <c r="AY153" s="12">
        <v>6395712490.9430399</v>
      </c>
      <c r="AZ153" s="12">
        <v>8524620889.5774698</v>
      </c>
      <c r="BA153" s="12">
        <v>10725137723.6549</v>
      </c>
      <c r="BB153" s="12">
        <v>9616879409.4378891</v>
      </c>
      <c r="BC153" s="12">
        <v>9982711338.0702896</v>
      </c>
      <c r="BD153" s="12">
        <v>11551819617.874001</v>
      </c>
      <c r="BE153" s="12">
        <v>11578975061.947901</v>
      </c>
      <c r="BF153" s="12">
        <v>12423555455.3853</v>
      </c>
      <c r="BG153" s="12">
        <v>12522957399.2281</v>
      </c>
      <c r="BH153" s="12">
        <v>11323020701.301701</v>
      </c>
      <c r="BI153" s="12">
        <v>11848613858.441999</v>
      </c>
      <c r="BJ153" s="12">
        <v>13176313593.5509</v>
      </c>
      <c r="BK153" s="12">
        <v>13760033282.2925</v>
      </c>
      <c r="BL153" s="12">
        <v>14104664678.5063</v>
      </c>
      <c r="BM153" s="12">
        <v>13051441203.947399</v>
      </c>
      <c r="BN153" s="12">
        <v>14554754116.5427</v>
      </c>
      <c r="BO153" s="12">
        <v>15297192798.9771</v>
      </c>
    </row>
    <row r="154" spans="1:67" x14ac:dyDescent="0.2">
      <c r="A154" s="12" t="s">
        <v>197</v>
      </c>
      <c r="B154" s="12" t="s">
        <v>196</v>
      </c>
      <c r="C154" s="12" t="s">
        <v>978</v>
      </c>
      <c r="D154" s="12" t="s">
        <v>979</v>
      </c>
      <c r="Y154" s="12">
        <v>42463576.158940397</v>
      </c>
      <c r="Z154" s="12">
        <v>44781456.953642398</v>
      </c>
      <c r="AA154" s="12">
        <v>47911340.183479398</v>
      </c>
      <c r="AB154" s="12">
        <v>57829787.2340426</v>
      </c>
      <c r="AC154" s="12">
        <v>109503546.099291</v>
      </c>
      <c r="AD154" s="12">
        <v>127190757.959989</v>
      </c>
      <c r="AE154" s="12">
        <v>141882254.230178</v>
      </c>
      <c r="AF154" s="12">
        <v>141223029.383064</v>
      </c>
      <c r="AG154" s="12">
        <v>168514513.37507099</v>
      </c>
      <c r="AH154" s="12">
        <v>189514434.24399999</v>
      </c>
      <c r="AI154" s="12">
        <v>215043969.849246</v>
      </c>
      <c r="AJ154" s="12">
        <v>244396761.92333999</v>
      </c>
      <c r="AK154" s="12">
        <v>284875809.03963399</v>
      </c>
      <c r="AL154" s="12">
        <v>322417837.16197097</v>
      </c>
      <c r="AM154" s="12">
        <v>356014932.13646102</v>
      </c>
      <c r="AN154" s="12">
        <v>398988954.970263</v>
      </c>
      <c r="AO154" s="12">
        <v>450382327.95242101</v>
      </c>
      <c r="AP154" s="12">
        <v>508223602.37892902</v>
      </c>
      <c r="AQ154" s="12">
        <v>540096397.62107098</v>
      </c>
      <c r="AR154" s="12">
        <v>589239753.61087501</v>
      </c>
      <c r="AS154" s="12">
        <v>624337145.28462195</v>
      </c>
      <c r="AT154" s="12">
        <v>870031676.79879296</v>
      </c>
      <c r="AU154" s="12">
        <v>897031250</v>
      </c>
      <c r="AV154" s="12">
        <v>1052121055.97237</v>
      </c>
      <c r="AW154" s="12">
        <v>1226829564.81545</v>
      </c>
      <c r="AX154" s="12">
        <v>1163362434.3276801</v>
      </c>
      <c r="AY154" s="12">
        <v>1575200390.9349</v>
      </c>
      <c r="AZ154" s="12">
        <v>1868383459.8434701</v>
      </c>
      <c r="BA154" s="12">
        <v>2271646188.1447401</v>
      </c>
      <c r="BB154" s="12">
        <v>2345294878.6680999</v>
      </c>
      <c r="BC154" s="12">
        <v>2588176058.4114599</v>
      </c>
      <c r="BD154" s="12">
        <v>2774350237.79742</v>
      </c>
      <c r="BE154" s="12">
        <v>2886163995.9966602</v>
      </c>
      <c r="BF154" s="12">
        <v>3295009236.5566101</v>
      </c>
      <c r="BG154" s="12">
        <v>3697353036.5864801</v>
      </c>
      <c r="BH154" s="12">
        <v>4129505319.8187099</v>
      </c>
      <c r="BI154" s="12">
        <v>4409942623.3867397</v>
      </c>
      <c r="BJ154" s="12">
        <v>4816426259.51373</v>
      </c>
      <c r="BK154" s="12">
        <v>5404344159.4995899</v>
      </c>
      <c r="BL154" s="12">
        <v>5726094797.67486</v>
      </c>
      <c r="BM154" s="12">
        <v>3712604580.3208098</v>
      </c>
      <c r="BN154" s="12">
        <v>5254366310.4480104</v>
      </c>
      <c r="BO154" s="12">
        <v>6170638746.9650002</v>
      </c>
    </row>
    <row r="155" spans="1:67" x14ac:dyDescent="0.2">
      <c r="A155" s="12" t="s">
        <v>1052</v>
      </c>
      <c r="B155" s="12" t="s">
        <v>1053</v>
      </c>
      <c r="C155" s="12" t="s">
        <v>978</v>
      </c>
      <c r="D155" s="12" t="s">
        <v>979</v>
      </c>
      <c r="M155" s="12">
        <v>44926460299.371101</v>
      </c>
      <c r="N155" s="12">
        <v>49719425357.828903</v>
      </c>
      <c r="O155" s="12">
        <v>56209824351.540901</v>
      </c>
      <c r="P155" s="12">
        <v>66524974899.024399</v>
      </c>
      <c r="Q155" s="12">
        <v>80586649211.230606</v>
      </c>
      <c r="R155" s="12">
        <v>109127661980.952</v>
      </c>
      <c r="S155" s="12">
        <v>203802641734.34601</v>
      </c>
      <c r="T155" s="12">
        <v>225344230666.591</v>
      </c>
      <c r="U155" s="12">
        <v>284872963235.92603</v>
      </c>
      <c r="V155" s="12">
        <v>331216140039.21802</v>
      </c>
      <c r="W155" s="12">
        <v>353592027705.50702</v>
      </c>
      <c r="X155" s="12">
        <v>464162825407.362</v>
      </c>
      <c r="Y155" s="12">
        <v>601129522702.05701</v>
      </c>
      <c r="Z155" s="12">
        <v>622416592706.36499</v>
      </c>
      <c r="AA155" s="12">
        <v>621500063686.66504</v>
      </c>
      <c r="AB155" s="12">
        <v>629100789954.10205</v>
      </c>
      <c r="AC155" s="12">
        <v>641519853614.70496</v>
      </c>
      <c r="AD155" s="12">
        <v>658245962978.21997</v>
      </c>
      <c r="AE155" s="12">
        <v>676100782341.48999</v>
      </c>
      <c r="AF155" s="12">
        <v>622547368883.61902</v>
      </c>
      <c r="AG155" s="12">
        <v>590088341346.63696</v>
      </c>
      <c r="AH155" s="12">
        <v>612778409182.72095</v>
      </c>
      <c r="AI155" s="12">
        <v>809958827131.44104</v>
      </c>
      <c r="AJ155" s="12">
        <v>571969411313.19995</v>
      </c>
      <c r="AK155" s="12">
        <v>627566887760.14294</v>
      </c>
      <c r="AL155" s="12">
        <v>643308052215.771</v>
      </c>
      <c r="AM155" s="12">
        <v>686296067710.45105</v>
      </c>
      <c r="AN155" s="12">
        <v>752146910983.37598</v>
      </c>
      <c r="AO155" s="12">
        <v>840862600701.87097</v>
      </c>
      <c r="AP155" s="12">
        <v>883631054043.01599</v>
      </c>
      <c r="AQ155" s="12">
        <v>868789129891.30896</v>
      </c>
      <c r="AR155" s="12">
        <v>942195465255.10901</v>
      </c>
      <c r="AS155" s="12">
        <v>1054208747376.3</v>
      </c>
      <c r="AT155" s="12">
        <v>1049349462909.89</v>
      </c>
      <c r="AU155" s="12">
        <v>1044485063788.28</v>
      </c>
      <c r="AV155" s="12">
        <v>1158726695751.73</v>
      </c>
      <c r="AW155" s="12">
        <v>1367503307898.3999</v>
      </c>
      <c r="AX155" s="12">
        <v>1643478702842.6101</v>
      </c>
      <c r="AY155" s="12">
        <v>1924932554666.8999</v>
      </c>
      <c r="AZ155" s="12">
        <v>2272331591869.3999</v>
      </c>
      <c r="BA155" s="12">
        <v>2830409520510.2998</v>
      </c>
      <c r="BB155" s="12">
        <v>2557001379167.3101</v>
      </c>
      <c r="BC155" s="12">
        <v>2994822249908.73</v>
      </c>
      <c r="BD155" s="12">
        <v>3378428248016.0601</v>
      </c>
      <c r="BE155" s="12">
        <v>3642052425017.3198</v>
      </c>
      <c r="BF155" s="12">
        <v>3581785465156.8301</v>
      </c>
      <c r="BG155" s="12">
        <v>3602485624081.21</v>
      </c>
      <c r="BH155" s="12">
        <v>3179422260336.2798</v>
      </c>
      <c r="BI155" s="12">
        <v>3213373155828.3799</v>
      </c>
      <c r="BJ155" s="12">
        <v>3352266378252.9302</v>
      </c>
      <c r="BK155" s="12">
        <v>3518411932515.5098</v>
      </c>
      <c r="BL155" s="12">
        <v>3522918900782.2998</v>
      </c>
      <c r="BM155" s="12">
        <v>3158039788618.23</v>
      </c>
      <c r="BN155" s="12">
        <v>3741604188467.0601</v>
      </c>
      <c r="BO155" s="12">
        <v>4426622170629</v>
      </c>
    </row>
    <row r="156" spans="1:67" x14ac:dyDescent="0.2">
      <c r="A156" s="12" t="s">
        <v>37</v>
      </c>
      <c r="B156" s="12" t="s">
        <v>36</v>
      </c>
      <c r="C156" s="12" t="s">
        <v>978</v>
      </c>
      <c r="D156" s="12" t="s">
        <v>979</v>
      </c>
      <c r="E156" s="12">
        <v>13040000000</v>
      </c>
      <c r="F156" s="12">
        <v>14160000000</v>
      </c>
      <c r="G156" s="12">
        <v>15200000000</v>
      </c>
      <c r="H156" s="12">
        <v>16960000000</v>
      </c>
      <c r="I156" s="12">
        <v>20080000000</v>
      </c>
      <c r="J156" s="12">
        <v>21840000000</v>
      </c>
      <c r="K156" s="12">
        <v>24320000000</v>
      </c>
      <c r="L156" s="12">
        <v>26560000000</v>
      </c>
      <c r="M156" s="12">
        <v>29360000000</v>
      </c>
      <c r="N156" s="12">
        <v>32480000000</v>
      </c>
      <c r="O156" s="12">
        <v>35520000000</v>
      </c>
      <c r="P156" s="12">
        <v>39200000000</v>
      </c>
      <c r="Q156" s="12">
        <v>45200000000</v>
      </c>
      <c r="R156" s="12">
        <v>55280000000</v>
      </c>
      <c r="S156" s="12">
        <v>72000000000</v>
      </c>
      <c r="T156" s="12">
        <v>88000000000</v>
      </c>
      <c r="U156" s="12">
        <v>88875923765.072006</v>
      </c>
      <c r="V156" s="12">
        <v>81912018783.502396</v>
      </c>
      <c r="W156" s="12">
        <v>102648570299.117</v>
      </c>
      <c r="X156" s="12">
        <v>134531900898.92599</v>
      </c>
      <c r="Y156" s="12">
        <v>205577055465.99301</v>
      </c>
      <c r="Z156" s="12">
        <v>263797827860.49399</v>
      </c>
      <c r="AA156" s="12">
        <v>184602611609.517</v>
      </c>
      <c r="AB156" s="12">
        <v>156167000432.99399</v>
      </c>
      <c r="AC156" s="12">
        <v>184230754105.39401</v>
      </c>
      <c r="AD156" s="12">
        <v>195241069482.077</v>
      </c>
      <c r="AE156" s="12">
        <v>134556034672.991</v>
      </c>
      <c r="AF156" s="12">
        <v>147542558208.888</v>
      </c>
      <c r="AG156" s="12">
        <v>181611150496.78699</v>
      </c>
      <c r="AH156" s="12">
        <v>221403098266.76999</v>
      </c>
      <c r="AI156" s="12">
        <v>261253675692.83801</v>
      </c>
      <c r="AJ156" s="12">
        <v>313139656145.745</v>
      </c>
      <c r="AK156" s="12">
        <v>363157832923.73401</v>
      </c>
      <c r="AL156" s="12">
        <v>530160763983.50598</v>
      </c>
      <c r="AM156" s="12">
        <v>553618247900.73999</v>
      </c>
      <c r="AN156" s="12">
        <v>380157469866.849</v>
      </c>
      <c r="AO156" s="12">
        <v>432157945024.42798</v>
      </c>
      <c r="AP156" s="12">
        <v>523449530464.25702</v>
      </c>
      <c r="AQ156" s="12">
        <v>557461102630.65796</v>
      </c>
      <c r="AR156" s="12">
        <v>631249359702.38904</v>
      </c>
      <c r="AS156" s="12">
        <v>742061329643.37</v>
      </c>
      <c r="AT156" s="12">
        <v>796064590656.17603</v>
      </c>
      <c r="AU156" s="12">
        <v>810666116505.47803</v>
      </c>
      <c r="AV156" s="12">
        <v>765549967888.64697</v>
      </c>
      <c r="AW156" s="12">
        <v>819459227375.02197</v>
      </c>
      <c r="AX156" s="12">
        <v>917571853345.58301</v>
      </c>
      <c r="AY156" s="12">
        <v>1020265057698.51</v>
      </c>
      <c r="AZ156" s="12">
        <v>1102355554788.9399</v>
      </c>
      <c r="BA156" s="12">
        <v>1161553459894.8</v>
      </c>
      <c r="BB156" s="12">
        <v>943437415098.63306</v>
      </c>
      <c r="BC156" s="12">
        <v>1105424238889.3701</v>
      </c>
      <c r="BD156" s="12">
        <v>1229013703255.77</v>
      </c>
      <c r="BE156" s="12">
        <v>1255110424741.8501</v>
      </c>
      <c r="BF156" s="12">
        <v>1327436290360.97</v>
      </c>
      <c r="BG156" s="12">
        <v>1364507717463.6699</v>
      </c>
      <c r="BH156" s="12">
        <v>1213294467527.5901</v>
      </c>
      <c r="BI156" s="12">
        <v>1112233497399.1201</v>
      </c>
      <c r="BJ156" s="12">
        <v>1190721475958.8401</v>
      </c>
      <c r="BK156" s="12">
        <v>1256300182983.6499</v>
      </c>
      <c r="BL156" s="12">
        <v>1305212479961.5901</v>
      </c>
      <c r="BM156" s="12">
        <v>1120741118380.27</v>
      </c>
      <c r="BN156" s="12">
        <v>1312557512901.28</v>
      </c>
      <c r="BO156" s="12">
        <v>1465854089286.47</v>
      </c>
    </row>
    <row r="157" spans="1:67" x14ac:dyDescent="0.2">
      <c r="A157" s="12" t="s">
        <v>367</v>
      </c>
      <c r="B157" s="12" t="s">
        <v>366</v>
      </c>
      <c r="C157" s="12" t="s">
        <v>978</v>
      </c>
      <c r="D157" s="12" t="s">
        <v>979</v>
      </c>
      <c r="Z157" s="12">
        <v>31020000</v>
      </c>
      <c r="AA157" s="12">
        <v>34918000</v>
      </c>
      <c r="AB157" s="12">
        <v>41749000</v>
      </c>
      <c r="AC157" s="12">
        <v>45144000</v>
      </c>
      <c r="AD157" s="12">
        <v>43879000</v>
      </c>
      <c r="AE157" s="12">
        <v>55989000</v>
      </c>
      <c r="AF157" s="12">
        <v>62983000</v>
      </c>
      <c r="AG157" s="12">
        <v>70688000</v>
      </c>
      <c r="AH157" s="12">
        <v>72798000</v>
      </c>
      <c r="AI157" s="12">
        <v>78476000</v>
      </c>
      <c r="AJ157" s="12">
        <v>82507000</v>
      </c>
      <c r="AK157" s="12">
        <v>91063000</v>
      </c>
      <c r="AL157" s="12">
        <v>99461000</v>
      </c>
      <c r="AM157" s="12">
        <v>108071000</v>
      </c>
      <c r="AN157" s="12">
        <v>120230000</v>
      </c>
      <c r="AO157" s="12">
        <v>110858000</v>
      </c>
      <c r="AP157" s="12">
        <v>110705600</v>
      </c>
      <c r="AQ157" s="12">
        <v>112279400</v>
      </c>
      <c r="AR157" s="12">
        <v>114326300</v>
      </c>
      <c r="AS157" s="12">
        <v>115347500</v>
      </c>
      <c r="AT157" s="12">
        <v>122824000</v>
      </c>
      <c r="AU157" s="12">
        <v>131738200</v>
      </c>
      <c r="AV157" s="12">
        <v>131398500</v>
      </c>
      <c r="AW157" s="12">
        <v>132934600</v>
      </c>
      <c r="AX157" s="12">
        <v>137666300</v>
      </c>
      <c r="AY157" s="12">
        <v>142745200</v>
      </c>
      <c r="AZ157" s="12">
        <v>149870000</v>
      </c>
      <c r="BA157" s="12">
        <v>145969100</v>
      </c>
      <c r="BB157" s="12">
        <v>150624900</v>
      </c>
      <c r="BC157" s="12">
        <v>160318500</v>
      </c>
      <c r="BD157" s="12">
        <v>171567100</v>
      </c>
      <c r="BE157" s="12">
        <v>179855800</v>
      </c>
      <c r="BF157" s="12">
        <v>185468000</v>
      </c>
      <c r="BG157" s="12">
        <v>185172900</v>
      </c>
      <c r="BH157" s="12">
        <v>182997300</v>
      </c>
      <c r="BI157" s="12">
        <v>200716000</v>
      </c>
      <c r="BJ157" s="12">
        <v>212701200</v>
      </c>
      <c r="BK157" s="12">
        <v>219430038.45214799</v>
      </c>
      <c r="BL157" s="12">
        <v>231996704.10156301</v>
      </c>
      <c r="BM157" s="12">
        <v>240751144.40917999</v>
      </c>
      <c r="BN157" s="12">
        <v>257784881.59179699</v>
      </c>
      <c r="BO157" s="12">
        <v>258774475.09765601</v>
      </c>
    </row>
    <row r="158" spans="1:67" x14ac:dyDescent="0.2">
      <c r="A158" s="12" t="s">
        <v>1054</v>
      </c>
      <c r="B158" s="12" t="s">
        <v>1055</v>
      </c>
      <c r="C158" s="12" t="s">
        <v>978</v>
      </c>
      <c r="D158" s="12" t="s">
        <v>979</v>
      </c>
      <c r="E158" s="12">
        <v>325105674243.53101</v>
      </c>
      <c r="F158" s="12">
        <v>320673160745.599</v>
      </c>
      <c r="G158" s="12">
        <v>324168102362.16602</v>
      </c>
      <c r="H158" s="12">
        <v>356741453797.07898</v>
      </c>
      <c r="I158" s="12">
        <v>407002850853.17603</v>
      </c>
      <c r="J158" s="12">
        <v>449100685221.43701</v>
      </c>
      <c r="K158" s="12">
        <v>455768780938.89099</v>
      </c>
      <c r="L158" s="12">
        <v>473852152041.677</v>
      </c>
      <c r="M158" s="12">
        <v>498478448025.492</v>
      </c>
      <c r="N158" s="12">
        <v>555484655217.09497</v>
      </c>
      <c r="O158" s="12">
        <v>613167104980.15295</v>
      </c>
      <c r="P158" s="12">
        <v>652979356449.948</v>
      </c>
      <c r="Q158" s="12">
        <v>730449454990.271</v>
      </c>
      <c r="R158" s="12">
        <v>906065477331.79102</v>
      </c>
      <c r="S158" s="12">
        <v>1133389531667.28</v>
      </c>
      <c r="T158" s="12">
        <v>1284612168198.6799</v>
      </c>
      <c r="U158" s="12">
        <v>1366249311841.6399</v>
      </c>
      <c r="V158" s="12">
        <v>1530842488942.24</v>
      </c>
      <c r="W158" s="12">
        <v>1771788860242.6201</v>
      </c>
      <c r="X158" s="12">
        <v>2140226198453.6799</v>
      </c>
      <c r="Y158" s="12">
        <v>2599993849752.9399</v>
      </c>
      <c r="Z158" s="12">
        <v>2895368525493.96</v>
      </c>
      <c r="AA158" s="12">
        <v>2788501934469.8999</v>
      </c>
      <c r="AB158" s="12">
        <v>2776228271397.8398</v>
      </c>
      <c r="AC158" s="12">
        <v>2833352051038.6802</v>
      </c>
      <c r="AD158" s="12">
        <v>2834419368274.2002</v>
      </c>
      <c r="AE158" s="12">
        <v>2883617605845.2402</v>
      </c>
      <c r="AF158" s="12">
        <v>3041572073557.6699</v>
      </c>
      <c r="AG158" s="12">
        <v>3282469073711.8901</v>
      </c>
      <c r="AH158" s="12">
        <v>3323188071350.25</v>
      </c>
      <c r="AI158" s="12">
        <v>3709881094821.9102</v>
      </c>
      <c r="AJ158" s="12">
        <v>3577995916529.8198</v>
      </c>
      <c r="AK158" s="12">
        <v>3765955546845.6602</v>
      </c>
      <c r="AL158" s="12">
        <v>4195017812665.8999</v>
      </c>
      <c r="AM158" s="12">
        <v>4372352995486.8301</v>
      </c>
      <c r="AN158" s="12">
        <v>4942686974190.5195</v>
      </c>
      <c r="AO158" s="12">
        <v>5444135606945.5996</v>
      </c>
      <c r="AP158" s="12">
        <v>5765175438067.8896</v>
      </c>
      <c r="AQ158" s="12">
        <v>5610935709274.7305</v>
      </c>
      <c r="AR158" s="12">
        <v>5330738144656.0195</v>
      </c>
      <c r="AS158" s="12">
        <v>5830183109530.4004</v>
      </c>
      <c r="AT158" s="12">
        <v>5888367399013.9697</v>
      </c>
      <c r="AU158" s="12">
        <v>6027440804501.7402</v>
      </c>
      <c r="AV158" s="12">
        <v>6791961941963.9004</v>
      </c>
      <c r="AW158" s="12">
        <v>8054944523179.6504</v>
      </c>
      <c r="AX158" s="12">
        <v>9577960033013.0391</v>
      </c>
      <c r="AY158" s="12">
        <v>11365771711611.801</v>
      </c>
      <c r="AZ158" s="12">
        <v>14040931885615.199</v>
      </c>
      <c r="BA158" s="12">
        <v>16786962311362.301</v>
      </c>
      <c r="BB158" s="12">
        <v>16376207089161.5</v>
      </c>
      <c r="BC158" s="12">
        <v>19970664770159.102</v>
      </c>
      <c r="BD158" s="12">
        <v>23799213978477.301</v>
      </c>
      <c r="BE158" s="12">
        <v>25375843431607</v>
      </c>
      <c r="BF158" s="12">
        <v>26873320442592</v>
      </c>
      <c r="BG158" s="12">
        <v>27770661614209.102</v>
      </c>
      <c r="BH158" s="12">
        <v>26306405505225.5</v>
      </c>
      <c r="BI158" s="12">
        <v>26514494477467.699</v>
      </c>
      <c r="BJ158" s="12">
        <v>29143948663893</v>
      </c>
      <c r="BK158" s="12">
        <v>30988164983467.199</v>
      </c>
      <c r="BL158" s="12">
        <v>31716230149539</v>
      </c>
      <c r="BM158" s="12">
        <v>30578372789487.199</v>
      </c>
      <c r="BN158" s="12">
        <v>36110412339698.703</v>
      </c>
      <c r="BO158" s="12">
        <v>38281934115375.703</v>
      </c>
    </row>
    <row r="159" spans="1:67" x14ac:dyDescent="0.2">
      <c r="A159" s="12" t="s">
        <v>187</v>
      </c>
      <c r="B159" s="12" t="s">
        <v>186</v>
      </c>
      <c r="C159" s="12" t="s">
        <v>978</v>
      </c>
      <c r="D159" s="12" t="s">
        <v>979</v>
      </c>
      <c r="AI159" s="12">
        <v>4699646643.10954</v>
      </c>
      <c r="AJ159" s="12">
        <v>4938775510.2040796</v>
      </c>
      <c r="AK159" s="12">
        <v>2436849341.9760399</v>
      </c>
      <c r="AL159" s="12">
        <v>2682456896.5517201</v>
      </c>
      <c r="AM159" s="12">
        <v>3559608639.9837899</v>
      </c>
      <c r="AN159" s="12">
        <v>4707041315.2420197</v>
      </c>
      <c r="AO159" s="12">
        <v>4642021256.3068895</v>
      </c>
      <c r="AP159" s="12">
        <v>3912986090.97363</v>
      </c>
      <c r="AQ159" s="12">
        <v>3765745023.2073998</v>
      </c>
      <c r="AR159" s="12">
        <v>3863619284.7793899</v>
      </c>
      <c r="AS159" s="12">
        <v>3772859034.20508</v>
      </c>
      <c r="AT159" s="12">
        <v>3709636030.6657801</v>
      </c>
      <c r="AU159" s="12">
        <v>4018365747.0097198</v>
      </c>
      <c r="AV159" s="12">
        <v>4946296599.0846701</v>
      </c>
      <c r="AW159" s="12">
        <v>5682784471.6972198</v>
      </c>
      <c r="AX159" s="12">
        <v>6258602872.6789799</v>
      </c>
      <c r="AY159" s="12">
        <v>6861226971.5561705</v>
      </c>
      <c r="AZ159" s="12">
        <v>8336474973.7294903</v>
      </c>
      <c r="BA159" s="12">
        <v>9909552434.5113602</v>
      </c>
      <c r="BB159" s="12">
        <v>9401736825.4268799</v>
      </c>
      <c r="BC159" s="12">
        <v>9407170321.3775196</v>
      </c>
      <c r="BD159" s="12">
        <v>10494626767.644501</v>
      </c>
      <c r="BE159" s="12">
        <v>9745261300.5778809</v>
      </c>
      <c r="BF159" s="12">
        <v>10817702346.0674</v>
      </c>
      <c r="BG159" s="12">
        <v>11362265252.778</v>
      </c>
      <c r="BH159" s="12">
        <v>10064519962.5655</v>
      </c>
      <c r="BI159" s="12">
        <v>10672467073.2873</v>
      </c>
      <c r="BJ159" s="12">
        <v>11307067069.6658</v>
      </c>
      <c r="BK159" s="12">
        <v>12683068114.2388</v>
      </c>
      <c r="BL159" s="12">
        <v>12606338448.547001</v>
      </c>
      <c r="BM159" s="12">
        <v>12363580534.681101</v>
      </c>
      <c r="BN159" s="12">
        <v>13998355971.304399</v>
      </c>
      <c r="BO159" s="12">
        <v>13563132102.1663</v>
      </c>
    </row>
    <row r="160" spans="1:67" x14ac:dyDescent="0.2">
      <c r="A160" s="12" t="s">
        <v>279</v>
      </c>
      <c r="B160" s="12" t="s">
        <v>278</v>
      </c>
      <c r="C160" s="12" t="s">
        <v>978</v>
      </c>
      <c r="D160" s="12" t="s">
        <v>979</v>
      </c>
      <c r="L160" s="12">
        <v>275494477.58609802</v>
      </c>
      <c r="M160" s="12">
        <v>343771972.993855</v>
      </c>
      <c r="N160" s="12">
        <v>339913867.092785</v>
      </c>
      <c r="O160" s="12">
        <v>359772315.102198</v>
      </c>
      <c r="P160" s="12">
        <v>395218628.92069399</v>
      </c>
      <c r="Q160" s="12">
        <v>486617280.25554901</v>
      </c>
      <c r="R160" s="12">
        <v>563683703.30470502</v>
      </c>
      <c r="S160" s="12">
        <v>538747339.95603299</v>
      </c>
      <c r="T160" s="12">
        <v>830710615.17995405</v>
      </c>
      <c r="U160" s="12">
        <v>939228017.24778998</v>
      </c>
      <c r="V160" s="12">
        <v>1049838548.10919</v>
      </c>
      <c r="W160" s="12">
        <v>1222702572.8469901</v>
      </c>
      <c r="X160" s="12">
        <v>1595422955.64433</v>
      </c>
      <c r="Y160" s="12">
        <v>1759691186.39993</v>
      </c>
      <c r="Z160" s="12">
        <v>1538972424.3663499</v>
      </c>
      <c r="AA160" s="12">
        <v>1333754224.99949</v>
      </c>
      <c r="AB160" s="12">
        <v>1297765325.90273</v>
      </c>
      <c r="AC160" s="12">
        <v>1232932104.0727601</v>
      </c>
      <c r="AD160" s="12">
        <v>1392196047.9969499</v>
      </c>
      <c r="AE160" s="12">
        <v>1852163453.15326</v>
      </c>
      <c r="AF160" s="12">
        <v>2090629986.9764299</v>
      </c>
      <c r="AG160" s="12">
        <v>2169040603.1939402</v>
      </c>
      <c r="AH160" s="12">
        <v>2181821909.2789202</v>
      </c>
      <c r="AI160" s="12">
        <v>2681912148.69842</v>
      </c>
      <c r="AJ160" s="12">
        <v>2724131458.2621598</v>
      </c>
      <c r="AK160" s="12">
        <v>2830673378.1300602</v>
      </c>
      <c r="AL160" s="12">
        <v>2818281085.0864601</v>
      </c>
      <c r="AM160" s="12">
        <v>2081846497.74648</v>
      </c>
      <c r="AN160" s="12">
        <v>2706425157.39397</v>
      </c>
      <c r="AO160" s="12">
        <v>2780422049.2120399</v>
      </c>
      <c r="AP160" s="12">
        <v>2697105823.4661002</v>
      </c>
      <c r="AQ160" s="12">
        <v>2920358710.5064602</v>
      </c>
      <c r="AR160" s="12">
        <v>3440724709.5925798</v>
      </c>
      <c r="AS160" s="12">
        <v>2961484953.86444</v>
      </c>
      <c r="AT160" s="12">
        <v>3468337942.3206301</v>
      </c>
      <c r="AU160" s="12">
        <v>3908121307.0195699</v>
      </c>
      <c r="AV160" s="12">
        <v>4714071979.6883497</v>
      </c>
      <c r="AW160" s="12">
        <v>5454249125.72966</v>
      </c>
      <c r="AX160" s="12">
        <v>6247515888.1453304</v>
      </c>
      <c r="AY160" s="12">
        <v>6905934217.9090099</v>
      </c>
      <c r="AZ160" s="12">
        <v>8156468826.1264496</v>
      </c>
      <c r="BA160" s="12">
        <v>9838403100.5055408</v>
      </c>
      <c r="BB160" s="12">
        <v>10231962390.211901</v>
      </c>
      <c r="BC160" s="12">
        <v>10689168016.261299</v>
      </c>
      <c r="BD160" s="12">
        <v>12995112690.2596</v>
      </c>
      <c r="BE160" s="12">
        <v>12442035339.1049</v>
      </c>
      <c r="BF160" s="12">
        <v>13242690786.0938</v>
      </c>
      <c r="BG160" s="12">
        <v>14364937124.072701</v>
      </c>
      <c r="BH160" s="12">
        <v>13104764378.326</v>
      </c>
      <c r="BI160" s="12">
        <v>14026048335.7047</v>
      </c>
      <c r="BJ160" s="12">
        <v>15365713048.199301</v>
      </c>
      <c r="BK160" s="12">
        <v>17070867589.9055</v>
      </c>
      <c r="BL160" s="12">
        <v>17280250810.032101</v>
      </c>
      <c r="BM160" s="12">
        <v>17465392764.370602</v>
      </c>
      <c r="BN160" s="12">
        <v>19309463508.037701</v>
      </c>
      <c r="BO160" s="12">
        <v>18827176529.698299</v>
      </c>
    </row>
    <row r="161" spans="1:67" x14ac:dyDescent="0.2">
      <c r="A161" s="12" t="s">
        <v>171</v>
      </c>
      <c r="B161" s="12" t="s">
        <v>170</v>
      </c>
      <c r="C161" s="12" t="s">
        <v>978</v>
      </c>
      <c r="D161" s="12" t="s">
        <v>979</v>
      </c>
      <c r="O161" s="12">
        <v>250721821.55367801</v>
      </c>
      <c r="P161" s="12">
        <v>264579879.78487799</v>
      </c>
      <c r="Q161" s="12">
        <v>295118249.32493299</v>
      </c>
      <c r="R161" s="12">
        <v>345602025.37539297</v>
      </c>
      <c r="S161" s="12">
        <v>376094108.47533101</v>
      </c>
      <c r="T161" s="12">
        <v>474620439.58495998</v>
      </c>
      <c r="U161" s="12">
        <v>527936988.79127502</v>
      </c>
      <c r="V161" s="12">
        <v>625573345.53217399</v>
      </c>
      <c r="W161" s="12">
        <v>793675169.87857902</v>
      </c>
      <c r="X161" s="12">
        <v>1001300838.32335</v>
      </c>
      <c r="Y161" s="12">
        <v>1250242107.8796899</v>
      </c>
      <c r="Z161" s="12">
        <v>1243469360.5683801</v>
      </c>
      <c r="AA161" s="12">
        <v>1234518125</v>
      </c>
      <c r="AB161" s="12">
        <v>1165771369.0062499</v>
      </c>
      <c r="AC161" s="12">
        <v>1101828568.7680399</v>
      </c>
      <c r="AD161" s="12">
        <v>1117835285.50512</v>
      </c>
      <c r="AE161" s="12">
        <v>1435079200.34957</v>
      </c>
      <c r="AF161" s="12">
        <v>1751247763.4194801</v>
      </c>
      <c r="AG161" s="12">
        <v>2019474244.1935899</v>
      </c>
      <c r="AH161" s="12">
        <v>2118574772.1113601</v>
      </c>
      <c r="AI161" s="12">
        <v>2547163582.33149</v>
      </c>
      <c r="AJ161" s="12">
        <v>2750041434.2629499</v>
      </c>
      <c r="AK161" s="12">
        <v>3021910216.7182698</v>
      </c>
      <c r="AL161" s="12">
        <v>2709178326.7827101</v>
      </c>
      <c r="AM161" s="12">
        <v>2998570146.5409498</v>
      </c>
      <c r="AN161" s="12">
        <v>3461332684.8249002</v>
      </c>
      <c r="AO161" s="12">
        <v>3585755121.4864202</v>
      </c>
      <c r="AP161" s="12">
        <v>3722389055.7223902</v>
      </c>
      <c r="AQ161" s="12">
        <v>3958227428.4451299</v>
      </c>
      <c r="AR161" s="12">
        <v>4155187257.8562198</v>
      </c>
      <c r="AS161" s="12">
        <v>4069515556.7869201</v>
      </c>
      <c r="AT161" s="12">
        <v>4088368961.7583599</v>
      </c>
      <c r="AU161" s="12">
        <v>4470446352.3256903</v>
      </c>
      <c r="AV161" s="12">
        <v>5448415539.81248</v>
      </c>
      <c r="AW161" s="12">
        <v>6098092511.83004</v>
      </c>
      <c r="AX161" s="12">
        <v>6416184235.8383999</v>
      </c>
      <c r="AY161" s="12">
        <v>6778324087.1381798</v>
      </c>
      <c r="AZ161" s="12">
        <v>7925371458.8052702</v>
      </c>
      <c r="BA161" s="12">
        <v>9090406749.5266991</v>
      </c>
      <c r="BB161" s="12">
        <v>8696366868.92276</v>
      </c>
      <c r="BC161" s="12">
        <v>9035824366.0080395</v>
      </c>
      <c r="BD161" s="12">
        <v>9638728635.0142994</v>
      </c>
      <c r="BE161" s="12">
        <v>9461776291.7991295</v>
      </c>
      <c r="BF161" s="12">
        <v>10551030596.7558</v>
      </c>
      <c r="BG161" s="12">
        <v>11625848974.805099</v>
      </c>
      <c r="BH161" s="12">
        <v>11091483659.615601</v>
      </c>
      <c r="BI161" s="12">
        <v>11668015565.808201</v>
      </c>
      <c r="BJ161" s="12">
        <v>13484541925.7714</v>
      </c>
      <c r="BK161" s="12">
        <v>15404393365.2073</v>
      </c>
      <c r="BL161" s="12">
        <v>15992378640.0553</v>
      </c>
      <c r="BM161" s="12">
        <v>15252609039.0749</v>
      </c>
      <c r="BN161" s="12">
        <v>18087205251.3605</v>
      </c>
      <c r="BO161" s="12">
        <v>18125564514.266399</v>
      </c>
    </row>
    <row r="162" spans="1:67" x14ac:dyDescent="0.2">
      <c r="A162" s="12" t="s">
        <v>271</v>
      </c>
      <c r="B162" s="12" t="s">
        <v>270</v>
      </c>
      <c r="C162" s="12" t="s">
        <v>978</v>
      </c>
      <c r="D162" s="12" t="s">
        <v>979</v>
      </c>
      <c r="E162" s="12">
        <v>545098463.820274</v>
      </c>
      <c r="F162" s="12">
        <v>605581577.28706598</v>
      </c>
      <c r="G162" s="12">
        <v>634528851.47918904</v>
      </c>
      <c r="H162" s="12">
        <v>598998434.72294104</v>
      </c>
      <c r="I162" s="12">
        <v>411419905.84662098</v>
      </c>
      <c r="J162" s="12">
        <v>367053111.33459097</v>
      </c>
      <c r="K162" s="12">
        <v>293103482.36021101</v>
      </c>
      <c r="L162" s="12">
        <v>420359035.89743602</v>
      </c>
      <c r="M162" s="12">
        <v>559956141.47155595</v>
      </c>
      <c r="N162" s="12">
        <v>571854203.59621596</v>
      </c>
      <c r="O162" s="12">
        <v>563555620.45235205</v>
      </c>
      <c r="P162" s="12">
        <v>587448416.50921702</v>
      </c>
      <c r="Q162" s="12">
        <v>662213096.31011796</v>
      </c>
      <c r="R162" s="12">
        <v>719754670.07263994</v>
      </c>
      <c r="S162" s="12">
        <v>1225589878.06809</v>
      </c>
      <c r="T162" s="12">
        <v>1061107353.67232</v>
      </c>
      <c r="U162" s="12">
        <v>1204699866.7625101</v>
      </c>
      <c r="V162" s="12">
        <v>873579940.51776004</v>
      </c>
      <c r="W162" s="12">
        <v>935408765.78103697</v>
      </c>
      <c r="X162" s="12">
        <v>952265051.99240696</v>
      </c>
      <c r="Y162" s="12">
        <v>1038225167.05882</v>
      </c>
      <c r="Z162" s="12">
        <v>1111000755.6956601</v>
      </c>
      <c r="AA162" s="12">
        <v>1481165483.45262</v>
      </c>
      <c r="AB162" s="12">
        <v>1381573615.2513001</v>
      </c>
      <c r="AC162" s="12">
        <v>1304063253.0413599</v>
      </c>
      <c r="AD162" s="12">
        <v>1478908160.2478399</v>
      </c>
      <c r="AE162" s="12">
        <v>1582873764.46786</v>
      </c>
      <c r="AF162" s="12">
        <v>1562448083.11731</v>
      </c>
      <c r="AG162" s="12">
        <v>1541088316.9737301</v>
      </c>
      <c r="AH162" s="12">
        <v>2013448239.5682299</v>
      </c>
      <c r="AI162" s="12">
        <v>2115193503.4812601</v>
      </c>
      <c r="AJ162" s="12">
        <v>2069832686.9806099</v>
      </c>
      <c r="AK162" s="12">
        <v>2411552296.5342798</v>
      </c>
      <c r="AL162" s="12">
        <v>3163020043.89081</v>
      </c>
      <c r="AM162" s="12">
        <v>4432257187.49862</v>
      </c>
      <c r="AN162" s="12">
        <v>5289174927.1152401</v>
      </c>
      <c r="AO162" s="12">
        <v>6123556701.0325098</v>
      </c>
      <c r="AP162" s="12">
        <v>4722288502.3000002</v>
      </c>
      <c r="AQ162" s="12">
        <v>6459461639.3024302</v>
      </c>
      <c r="AR162" s="12">
        <v>8486832800.8849802</v>
      </c>
      <c r="AS162" s="12">
        <v>8905066163.5864296</v>
      </c>
      <c r="AT162" s="12">
        <v>6477790688.2284403</v>
      </c>
      <c r="AU162" s="12">
        <v>6777632512.0781002</v>
      </c>
      <c r="AV162" s="12">
        <v>10467109977.6717</v>
      </c>
      <c r="AW162" s="12">
        <v>10567354056.4049</v>
      </c>
      <c r="AX162" s="12">
        <v>11986972418.5103</v>
      </c>
      <c r="AY162" s="12">
        <v>14502553709.830299</v>
      </c>
      <c r="AZ162" s="12">
        <v>20182477480.551201</v>
      </c>
      <c r="BA162" s="12">
        <v>31862554101.937801</v>
      </c>
      <c r="BB162" s="12">
        <v>36906181380.812698</v>
      </c>
      <c r="BC162" s="12">
        <v>49540813342.483398</v>
      </c>
      <c r="BD162" s="12">
        <v>59977326085.990799</v>
      </c>
      <c r="BE162" s="12">
        <v>59937796641.788902</v>
      </c>
      <c r="BF162" s="12">
        <v>60269732882.841301</v>
      </c>
      <c r="BG162" s="12">
        <v>65446196919.681297</v>
      </c>
      <c r="BH162" s="12">
        <v>59687411768.822403</v>
      </c>
      <c r="BI162" s="12">
        <v>63216143490.142303</v>
      </c>
      <c r="BJ162" s="12">
        <v>66055090634.451797</v>
      </c>
      <c r="BK162" s="12">
        <v>67855845007.316803</v>
      </c>
      <c r="BL162" s="12">
        <v>75072038085.854202</v>
      </c>
      <c r="BM162" s="12">
        <v>79045695084.506897</v>
      </c>
      <c r="BN162" s="12">
        <v>66262813093.482399</v>
      </c>
      <c r="BO162" s="12">
        <v>62263466263.737503</v>
      </c>
    </row>
    <row r="163" spans="1:67" x14ac:dyDescent="0.2">
      <c r="A163" s="12" t="s">
        <v>1056</v>
      </c>
      <c r="B163" s="12" t="s">
        <v>1057</v>
      </c>
      <c r="C163" s="12" t="s">
        <v>978</v>
      </c>
      <c r="D163" s="12" t="s">
        <v>979</v>
      </c>
      <c r="J163" s="12">
        <v>23870832123.150101</v>
      </c>
      <c r="K163" s="12">
        <v>24881410228.507099</v>
      </c>
      <c r="L163" s="12">
        <v>26936465307.3992</v>
      </c>
      <c r="M163" s="12">
        <v>29634802924.590599</v>
      </c>
      <c r="N163" s="12">
        <v>32879112733.991001</v>
      </c>
      <c r="O163" s="12">
        <v>37135228292.342499</v>
      </c>
      <c r="P163" s="12">
        <v>42573853380.000999</v>
      </c>
      <c r="Q163" s="12">
        <v>50799908522.540398</v>
      </c>
      <c r="R163" s="12">
        <v>67434903546.320198</v>
      </c>
      <c r="S163" s="12">
        <v>102798505813.896</v>
      </c>
      <c r="T163" s="12">
        <v>119615493437.48</v>
      </c>
      <c r="U163" s="12">
        <v>147648092416.47501</v>
      </c>
      <c r="V163" s="12">
        <v>170873327766.06699</v>
      </c>
      <c r="W163" s="12">
        <v>183658912039.78</v>
      </c>
      <c r="X163" s="12">
        <v>229078961254.80399</v>
      </c>
      <c r="Y163" s="12">
        <v>274324325425.08301</v>
      </c>
      <c r="Z163" s="12">
        <v>267714333482.905</v>
      </c>
      <c r="AA163" s="12">
        <v>307059523271.12701</v>
      </c>
      <c r="AB163" s="12">
        <v>345082931492.01898</v>
      </c>
      <c r="AC163" s="12">
        <v>365345138711.13898</v>
      </c>
      <c r="AD163" s="12">
        <v>398333490842.70203</v>
      </c>
      <c r="AE163" s="12">
        <v>447645511593.55298</v>
      </c>
      <c r="AF163" s="12">
        <v>391478083825.36902</v>
      </c>
      <c r="AG163" s="12">
        <v>359390955440.57202</v>
      </c>
      <c r="AH163" s="12">
        <v>361406549202.771</v>
      </c>
      <c r="AI163" s="12">
        <v>508430708183.41803</v>
      </c>
      <c r="AJ163" s="12">
        <v>269916667384.707</v>
      </c>
      <c r="AK163" s="12">
        <v>299630629556.508</v>
      </c>
      <c r="AL163" s="12">
        <v>313437557827.68298</v>
      </c>
      <c r="AM163" s="12">
        <v>342398659696.21698</v>
      </c>
      <c r="AN163" s="12">
        <v>379728969540.36603</v>
      </c>
      <c r="AO163" s="12">
        <v>428606034910.15503</v>
      </c>
      <c r="AP163" s="12">
        <v>452412037427.46698</v>
      </c>
      <c r="AQ163" s="12">
        <v>465944553126.164</v>
      </c>
      <c r="AR163" s="12">
        <v>506224863208.79199</v>
      </c>
      <c r="AS163" s="12">
        <v>536202192461.12701</v>
      </c>
      <c r="AT163" s="12">
        <v>542319894815.90802</v>
      </c>
      <c r="AU163" s="12">
        <v>528296081472.20898</v>
      </c>
      <c r="AV163" s="12">
        <v>577707455538.20203</v>
      </c>
      <c r="AW163" s="12">
        <v>685778404683.349</v>
      </c>
      <c r="AX163" s="12">
        <v>808521514760.26697</v>
      </c>
      <c r="AY163" s="12">
        <v>942307082128.50195</v>
      </c>
      <c r="AZ163" s="12">
        <v>1148311871537.5901</v>
      </c>
      <c r="BA163" s="12">
        <v>1416250545207.77</v>
      </c>
      <c r="BB163" s="12">
        <v>1378596088101.01</v>
      </c>
      <c r="BC163" s="12">
        <v>1587780325455.6299</v>
      </c>
      <c r="BD163" s="12">
        <v>1636401115080.8201</v>
      </c>
      <c r="BE163" s="12">
        <v>1764808544095.3601</v>
      </c>
      <c r="BF163" s="12">
        <v>1624047553136.1201</v>
      </c>
      <c r="BG163" s="12">
        <v>1600856726417.6101</v>
      </c>
      <c r="BH163" s="12">
        <v>1439069684881.3799</v>
      </c>
      <c r="BI163" s="12">
        <v>1475844921134.79</v>
      </c>
      <c r="BJ163" s="12">
        <v>1476907774224.8401</v>
      </c>
      <c r="BK163" s="12">
        <v>1401837441911.77</v>
      </c>
      <c r="BL163" s="12">
        <v>1408624311737.4299</v>
      </c>
      <c r="BM163" s="12">
        <v>1284883935067.6399</v>
      </c>
      <c r="BN163" s="12">
        <v>1501058612650.4099</v>
      </c>
      <c r="BO163" s="12">
        <v>1696713423187.5601</v>
      </c>
    </row>
    <row r="164" spans="1:67" x14ac:dyDescent="0.2">
      <c r="A164" s="12" t="s">
        <v>195</v>
      </c>
      <c r="B164" s="12" t="s">
        <v>194</v>
      </c>
      <c r="C164" s="12" t="s">
        <v>978</v>
      </c>
      <c r="D164" s="12" t="s">
        <v>979</v>
      </c>
      <c r="AS164" s="12">
        <v>984293043.81156504</v>
      </c>
      <c r="AT164" s="12">
        <v>1159869245.9251299</v>
      </c>
      <c r="AU164" s="12">
        <v>1284685050.5241301</v>
      </c>
      <c r="AV164" s="12">
        <v>1707710053.14938</v>
      </c>
      <c r="AW164" s="12">
        <v>2073234417.68066</v>
      </c>
      <c r="AX164" s="12">
        <v>2257174480.7859702</v>
      </c>
      <c r="AY164" s="12">
        <v>2721903148.9148202</v>
      </c>
      <c r="AZ164" s="12">
        <v>3680711743.7722402</v>
      </c>
      <c r="BA164" s="12">
        <v>4545674527.61096</v>
      </c>
      <c r="BB164" s="12">
        <v>4159330369.5471001</v>
      </c>
      <c r="BC164" s="12">
        <v>4142983843.4912</v>
      </c>
      <c r="BD164" s="12">
        <v>4544428421.4951296</v>
      </c>
      <c r="BE164" s="12">
        <v>4087526241.8126798</v>
      </c>
      <c r="BF164" s="12">
        <v>4465772400.3745298</v>
      </c>
      <c r="BG164" s="12">
        <v>4593853290.9630003</v>
      </c>
      <c r="BH164" s="12">
        <v>4054730077.5771799</v>
      </c>
      <c r="BI164" s="12">
        <v>4376930578.3239498</v>
      </c>
      <c r="BJ164" s="12">
        <v>4856599480.7988195</v>
      </c>
      <c r="BK164" s="12">
        <v>5506942238.3566799</v>
      </c>
      <c r="BL164" s="12">
        <v>5542054181.1261597</v>
      </c>
      <c r="BM164" s="12">
        <v>4769996866.0075798</v>
      </c>
      <c r="BN164" s="12">
        <v>5861427505.1249304</v>
      </c>
      <c r="BO164" s="12">
        <v>6229801580.7915697</v>
      </c>
    </row>
    <row r="165" spans="1:67" x14ac:dyDescent="0.2">
      <c r="A165" s="12" t="s">
        <v>243</v>
      </c>
      <c r="B165" s="12" t="s">
        <v>242</v>
      </c>
      <c r="C165" s="12" t="s">
        <v>978</v>
      </c>
      <c r="D165" s="12" t="s">
        <v>979</v>
      </c>
      <c r="Z165" s="12">
        <v>2310099100</v>
      </c>
      <c r="AA165" s="12">
        <v>2552401933.3333302</v>
      </c>
      <c r="AB165" s="12">
        <v>2725736633.3333302</v>
      </c>
      <c r="AC165" s="12">
        <v>2098734600</v>
      </c>
      <c r="AD165" s="12">
        <v>2186505475</v>
      </c>
      <c r="AE165" s="12">
        <v>2896178866.6666698</v>
      </c>
      <c r="AF165" s="12">
        <v>3020611600</v>
      </c>
      <c r="AG165" s="12">
        <v>3204461566.6666698</v>
      </c>
      <c r="AH165" s="12">
        <v>3576966800</v>
      </c>
      <c r="AI165" s="12">
        <v>2560785660</v>
      </c>
      <c r="AJ165" s="12">
        <v>2379018326.3157902</v>
      </c>
      <c r="AK165" s="12">
        <v>1317611863.8497701</v>
      </c>
      <c r="AL165" s="12">
        <v>768401634.15457296</v>
      </c>
      <c r="AM165" s="12">
        <v>925817092.217484</v>
      </c>
      <c r="AN165" s="12">
        <v>1452165005.2384</v>
      </c>
      <c r="AO165" s="12">
        <v>1345719472.35883</v>
      </c>
      <c r="AP165" s="12">
        <v>1180934202.8380101</v>
      </c>
      <c r="AQ165" s="12">
        <v>1124440204.8473799</v>
      </c>
      <c r="AR165" s="12">
        <v>1057408588.68269</v>
      </c>
      <c r="AS165" s="12">
        <v>1136896123.6129799</v>
      </c>
      <c r="AT165" s="12">
        <v>1267997934.3125</v>
      </c>
      <c r="AU165" s="12">
        <v>1396555719.9740901</v>
      </c>
      <c r="AV165" s="12">
        <v>1595297355.7834899</v>
      </c>
      <c r="AW165" s="12">
        <v>1992066808.0959799</v>
      </c>
      <c r="AX165" s="12">
        <v>2523471601.1042099</v>
      </c>
      <c r="AY165" s="12">
        <v>3414055661.6159801</v>
      </c>
      <c r="AZ165" s="12">
        <v>4234999703.9005899</v>
      </c>
      <c r="BA165" s="12">
        <v>5623216608.0428801</v>
      </c>
      <c r="BB165" s="12">
        <v>4583850367.88972</v>
      </c>
      <c r="BC165" s="12">
        <v>7189481998.9009399</v>
      </c>
      <c r="BD165" s="12">
        <v>10409797377.8571</v>
      </c>
      <c r="BE165" s="12">
        <v>12292770631.565001</v>
      </c>
      <c r="BF165" s="12">
        <v>12582122604.2577</v>
      </c>
      <c r="BG165" s="12">
        <v>12226514668.062201</v>
      </c>
      <c r="BH165" s="12">
        <v>11619892590.694099</v>
      </c>
      <c r="BI165" s="12">
        <v>11181350649.3573</v>
      </c>
      <c r="BJ165" s="12">
        <v>11480847740.736</v>
      </c>
      <c r="BK165" s="12">
        <v>13178094720.4986</v>
      </c>
      <c r="BL165" s="12">
        <v>14206359017.514299</v>
      </c>
      <c r="BM165" s="12">
        <v>13312981429.0891</v>
      </c>
      <c r="BN165" s="12">
        <v>15286441737.6686</v>
      </c>
      <c r="BO165" s="12">
        <v>17146471626.396299</v>
      </c>
    </row>
    <row r="166" spans="1:67" x14ac:dyDescent="0.2">
      <c r="A166" s="12" t="s">
        <v>946</v>
      </c>
      <c r="B166" s="12" t="s">
        <v>1058</v>
      </c>
      <c r="C166" s="12" t="s">
        <v>978</v>
      </c>
      <c r="D166" s="12" t="s">
        <v>979</v>
      </c>
      <c r="AU166" s="12">
        <v>1284000000</v>
      </c>
      <c r="AV166" s="12">
        <v>1239000000</v>
      </c>
      <c r="AW166" s="12">
        <v>1210000000</v>
      </c>
      <c r="AX166" s="12">
        <v>1061000000</v>
      </c>
      <c r="AY166" s="12">
        <v>990000000</v>
      </c>
      <c r="AZ166" s="12">
        <v>938000000</v>
      </c>
      <c r="BA166" s="12">
        <v>939000000</v>
      </c>
      <c r="BB166" s="12">
        <v>795000000</v>
      </c>
      <c r="BC166" s="12">
        <v>799000000</v>
      </c>
      <c r="BD166" s="12">
        <v>729000000</v>
      </c>
      <c r="BE166" s="12">
        <v>746000000</v>
      </c>
      <c r="BF166" s="12">
        <v>772000000</v>
      </c>
      <c r="BG166" s="12">
        <v>832000000</v>
      </c>
      <c r="BH166" s="12">
        <v>910000000</v>
      </c>
      <c r="BI166" s="12">
        <v>1230000000</v>
      </c>
      <c r="BJ166" s="12">
        <v>1560000000</v>
      </c>
      <c r="BK166" s="12">
        <v>1301000000</v>
      </c>
      <c r="BL166" s="12">
        <v>1181000000</v>
      </c>
      <c r="BM166" s="12">
        <v>858000000</v>
      </c>
    </row>
    <row r="167" spans="1:67" x14ac:dyDescent="0.2">
      <c r="A167" s="12" t="s">
        <v>305</v>
      </c>
      <c r="B167" s="12" t="s">
        <v>304</v>
      </c>
      <c r="C167" s="12" t="s">
        <v>978</v>
      </c>
      <c r="D167" s="12" t="s">
        <v>979</v>
      </c>
      <c r="AJ167" s="12">
        <v>3854856434.5806198</v>
      </c>
      <c r="AK167" s="12">
        <v>2798696511.18156</v>
      </c>
      <c r="AL167" s="12">
        <v>2883161897.4265099</v>
      </c>
      <c r="AM167" s="12">
        <v>2958108170.32061</v>
      </c>
      <c r="AN167" s="12">
        <v>3061646173.7393799</v>
      </c>
      <c r="AO167" s="12">
        <v>4030146134.5706</v>
      </c>
      <c r="AP167" s="12">
        <v>4873663774.9301901</v>
      </c>
      <c r="AQ167" s="12">
        <v>5551118148.7383604</v>
      </c>
      <c r="AR167" s="12">
        <v>6285219691.2246199</v>
      </c>
      <c r="AS167" s="12">
        <v>5930685214.6159496</v>
      </c>
      <c r="AT167" s="12">
        <v>5650154067.1034603</v>
      </c>
      <c r="AU167" s="12">
        <v>5950769426.6021299</v>
      </c>
      <c r="AV167" s="12">
        <v>6583526860.5806198</v>
      </c>
      <c r="AW167" s="12">
        <v>7937255565.3576498</v>
      </c>
      <c r="AX167" s="12">
        <v>8868504899.9467297</v>
      </c>
      <c r="AY167" s="12">
        <v>9509835536.9337292</v>
      </c>
      <c r="AZ167" s="12">
        <v>10811456005.9405</v>
      </c>
      <c r="BA167" s="12">
        <v>12920340964.6544</v>
      </c>
      <c r="BB167" s="12">
        <v>12263894790.012501</v>
      </c>
      <c r="BC167" s="12">
        <v>11411894723.864</v>
      </c>
      <c r="BD167" s="12">
        <v>14619279988.716</v>
      </c>
      <c r="BE167" s="12">
        <v>16688114144.074499</v>
      </c>
      <c r="BF167" s="12">
        <v>17198073057.198101</v>
      </c>
      <c r="BG167" s="12">
        <v>17978246586.0662</v>
      </c>
      <c r="BH167" s="12">
        <v>16208985769.615</v>
      </c>
      <c r="BI167" s="12">
        <v>12069051237.171101</v>
      </c>
      <c r="BJ167" s="12">
        <v>13264640645.7768</v>
      </c>
      <c r="BK167" s="12">
        <v>15017358750.6113</v>
      </c>
      <c r="BL167" s="12">
        <v>15512759174.573</v>
      </c>
      <c r="BM167" s="12">
        <v>14235420505.2904</v>
      </c>
      <c r="BN167" s="12">
        <v>16168056388.910101</v>
      </c>
      <c r="BO167" s="12">
        <v>18406835954.669498</v>
      </c>
    </row>
    <row r="168" spans="1:67" x14ac:dyDescent="0.2">
      <c r="A168" s="12" t="s">
        <v>283</v>
      </c>
      <c r="B168" s="12" t="s">
        <v>282</v>
      </c>
      <c r="C168" s="12" t="s">
        <v>978</v>
      </c>
      <c r="D168" s="12" t="s">
        <v>979</v>
      </c>
      <c r="F168" s="12">
        <v>159213430.24526501</v>
      </c>
      <c r="G168" s="12">
        <v>164271557.56208599</v>
      </c>
      <c r="H168" s="12">
        <v>168186297.20410699</v>
      </c>
      <c r="I168" s="12">
        <v>224495743.784017</v>
      </c>
      <c r="J168" s="12">
        <v>255340475.01808301</v>
      </c>
      <c r="K168" s="12">
        <v>266533605.16557601</v>
      </c>
      <c r="L168" s="12">
        <v>282615310.21628398</v>
      </c>
      <c r="M168" s="12">
        <v>311395937.24193501</v>
      </c>
      <c r="N168" s="12">
        <v>295062308.49394798</v>
      </c>
      <c r="O168" s="12">
        <v>309405316.05868697</v>
      </c>
      <c r="P168" s="12">
        <v>335568907.08802098</v>
      </c>
      <c r="Q168" s="12">
        <v>391669449.25113899</v>
      </c>
      <c r="R168" s="12">
        <v>493237876.29546398</v>
      </c>
      <c r="S168" s="12">
        <v>613010552.47871697</v>
      </c>
      <c r="T168" s="12">
        <v>703377837.45222294</v>
      </c>
      <c r="U168" s="12">
        <v>775045516.85000205</v>
      </c>
      <c r="V168" s="12">
        <v>799030017.14520895</v>
      </c>
      <c r="W168" s="12">
        <v>804629876.76144099</v>
      </c>
      <c r="X168" s="12">
        <v>951900945.20891201</v>
      </c>
      <c r="Y168" s="12">
        <v>1047925105.5885299</v>
      </c>
      <c r="Z168" s="12">
        <v>1105494681.6733501</v>
      </c>
      <c r="AA168" s="12">
        <v>1108776652.78389</v>
      </c>
      <c r="AB168" s="12">
        <v>1165171263.38241</v>
      </c>
      <c r="AC168" s="12">
        <v>1074373230.28438</v>
      </c>
      <c r="AD168" s="12">
        <v>1009723326.31511</v>
      </c>
      <c r="AE168" s="12">
        <v>1186628778.5142901</v>
      </c>
      <c r="AF168" s="12">
        <v>1344664724.6628301</v>
      </c>
      <c r="AG168" s="12">
        <v>1414951290.0668199</v>
      </c>
      <c r="AH168" s="12">
        <v>1450647019.18099</v>
      </c>
      <c r="AI168" s="12">
        <v>1506914407.8204701</v>
      </c>
      <c r="AJ168" s="12">
        <v>2133692696.74857</v>
      </c>
      <c r="AK168" s="12">
        <v>2164298425.4841199</v>
      </c>
      <c r="AL168" s="12">
        <v>1847353211.3475001</v>
      </c>
      <c r="AM168" s="12">
        <v>1944876755.0070801</v>
      </c>
      <c r="AN168" s="12">
        <v>2091726101.43014</v>
      </c>
      <c r="AO168" s="12">
        <v>2132087009.2894199</v>
      </c>
      <c r="AP168" s="12">
        <v>2071996564.0529599</v>
      </c>
      <c r="AQ168" s="12">
        <v>2032347664.94993</v>
      </c>
      <c r="AR168" s="12">
        <v>1985922775.53351</v>
      </c>
      <c r="AS168" s="12">
        <v>1779520886.47015</v>
      </c>
      <c r="AT168" s="12">
        <v>1746063557.6135499</v>
      </c>
      <c r="AU168" s="12">
        <v>1777057481.2604301</v>
      </c>
      <c r="AV168" s="12">
        <v>2051147606.7368701</v>
      </c>
      <c r="AW168" s="12">
        <v>2362501023.2424898</v>
      </c>
      <c r="AX168" s="12">
        <v>2936019525.6024098</v>
      </c>
      <c r="AY168" s="12">
        <v>3919577285.9270301</v>
      </c>
      <c r="AZ168" s="12">
        <v>4346212355.0297499</v>
      </c>
      <c r="BA168" s="12">
        <v>5206437193.8041296</v>
      </c>
      <c r="BB168" s="12">
        <v>4714595547.7510204</v>
      </c>
      <c r="BC168" s="12">
        <v>5628878797.9825697</v>
      </c>
      <c r="BD168" s="12">
        <v>6764627745.9033003</v>
      </c>
      <c r="BE168" s="12">
        <v>6728208836.2214298</v>
      </c>
      <c r="BF168" s="12">
        <v>7223071097.0841703</v>
      </c>
      <c r="BG168" s="12">
        <v>6592537781.8151798</v>
      </c>
      <c r="BH168" s="12">
        <v>6166863896.6867704</v>
      </c>
      <c r="BI168" s="12">
        <v>6398747592.1318502</v>
      </c>
      <c r="BJ168" s="12">
        <v>6800135898.28827</v>
      </c>
      <c r="BK168" s="12">
        <v>7473550557.0737801</v>
      </c>
      <c r="BL168" s="12">
        <v>7894764885.8231201</v>
      </c>
      <c r="BM168" s="12">
        <v>8260752385.2308903</v>
      </c>
      <c r="BN168" s="12">
        <v>9222536364.0127201</v>
      </c>
      <c r="BO168" s="12">
        <v>9780863578.9768791</v>
      </c>
    </row>
    <row r="169" spans="1:67" x14ac:dyDescent="0.2">
      <c r="A169" s="12" t="s">
        <v>223</v>
      </c>
      <c r="B169" s="12" t="s">
        <v>222</v>
      </c>
      <c r="C169" s="12" t="s">
        <v>978</v>
      </c>
      <c r="D169" s="12" t="s">
        <v>979</v>
      </c>
      <c r="U169" s="12">
        <v>704030891.15134597</v>
      </c>
      <c r="V169" s="12">
        <v>823633467.66943502</v>
      </c>
      <c r="W169" s="12">
        <v>1015369263.90596</v>
      </c>
      <c r="X169" s="12">
        <v>1211139695.13521</v>
      </c>
      <c r="Y169" s="12">
        <v>1131789369.7948999</v>
      </c>
      <c r="Z169" s="12">
        <v>1142388185.4972501</v>
      </c>
      <c r="AA169" s="12">
        <v>1078403870.29722</v>
      </c>
      <c r="AB169" s="12">
        <v>1090276947.2587199</v>
      </c>
      <c r="AC169" s="12">
        <v>1040554601.10999</v>
      </c>
      <c r="AD169" s="12">
        <v>1076122279.04023</v>
      </c>
      <c r="AE169" s="12">
        <v>1462904818.0658801</v>
      </c>
      <c r="AF169" s="12">
        <v>1880850431.3912399</v>
      </c>
      <c r="AG169" s="12">
        <v>2134513096.5249</v>
      </c>
      <c r="AH169" s="12">
        <v>2181934976.4491501</v>
      </c>
      <c r="AI169" s="12">
        <v>2653485892.6251898</v>
      </c>
      <c r="AJ169" s="12">
        <v>2856889220.4267902</v>
      </c>
      <c r="AK169" s="12">
        <v>3224265890.4256802</v>
      </c>
      <c r="AL169" s="12">
        <v>3263363787.1659899</v>
      </c>
      <c r="AM169" s="12">
        <v>3558143578.0237699</v>
      </c>
      <c r="AN169" s="12">
        <v>4040341982.72124</v>
      </c>
      <c r="AO169" s="12">
        <v>4421952040.8520899</v>
      </c>
      <c r="AP169" s="12">
        <v>4187375953.6973</v>
      </c>
      <c r="AQ169" s="12">
        <v>4169672974.8485498</v>
      </c>
      <c r="AR169" s="12">
        <v>4343708953.0738897</v>
      </c>
      <c r="AS169" s="12">
        <v>4663321081.4445</v>
      </c>
      <c r="AT169" s="12">
        <v>4613637274.93505</v>
      </c>
      <c r="AU169" s="12">
        <v>4841310239.6368704</v>
      </c>
      <c r="AV169" s="12">
        <v>5816559038.5454502</v>
      </c>
      <c r="AW169" s="12">
        <v>6578840418.9215002</v>
      </c>
      <c r="AX169" s="12">
        <v>6488743193.0714703</v>
      </c>
      <c r="AY169" s="12">
        <v>7028810680.89077</v>
      </c>
      <c r="AZ169" s="12">
        <v>8150150209.2250099</v>
      </c>
      <c r="BA169" s="12">
        <v>9990356673.7349701</v>
      </c>
      <c r="BB169" s="12">
        <v>9128843109.15588</v>
      </c>
      <c r="BC169" s="12">
        <v>10003670690.349701</v>
      </c>
      <c r="BD169" s="12">
        <v>11518413429.968399</v>
      </c>
      <c r="BE169" s="12">
        <v>11668696396.7887</v>
      </c>
      <c r="BF169" s="12">
        <v>12292974141.4044</v>
      </c>
      <c r="BG169" s="12">
        <v>13074129952.0532</v>
      </c>
      <c r="BH169" s="12">
        <v>12007291045.648899</v>
      </c>
      <c r="BI169" s="12">
        <v>12594155464.413601</v>
      </c>
      <c r="BJ169" s="12">
        <v>13713506130.608101</v>
      </c>
      <c r="BK169" s="12">
        <v>14735695930.9727</v>
      </c>
      <c r="BL169" s="12">
        <v>14436346979.6355</v>
      </c>
      <c r="BM169" s="12">
        <v>11408106446.3144</v>
      </c>
      <c r="BN169" s="12">
        <v>11484357947.9086</v>
      </c>
      <c r="BO169" s="12">
        <v>12948726653.811001</v>
      </c>
    </row>
    <row r="170" spans="1:67" x14ac:dyDescent="0.2">
      <c r="A170" s="12" t="s">
        <v>287</v>
      </c>
      <c r="B170" s="12" t="s">
        <v>286</v>
      </c>
      <c r="C170" s="12" t="s">
        <v>978</v>
      </c>
      <c r="D170" s="12" t="s">
        <v>979</v>
      </c>
      <c r="Y170" s="12">
        <v>1801156774.7084899</v>
      </c>
      <c r="Z170" s="12">
        <v>1801193909.5239501</v>
      </c>
      <c r="AA170" s="12">
        <v>1717379494.5269599</v>
      </c>
      <c r="AB170" s="12">
        <v>1780148049.6777599</v>
      </c>
      <c r="AC170" s="12">
        <v>1758028656.1238201</v>
      </c>
      <c r="AD170" s="12">
        <v>1646442272.9398601</v>
      </c>
      <c r="AE170" s="12">
        <v>1722586299.3647499</v>
      </c>
      <c r="AF170" s="12">
        <v>1721711808.5076301</v>
      </c>
      <c r="AG170" s="12">
        <v>2008189508.2730999</v>
      </c>
      <c r="AH170" s="12">
        <v>2314205129.4928498</v>
      </c>
      <c r="AI170" s="12">
        <v>2737087861.60887</v>
      </c>
      <c r="AJ170" s="12">
        <v>3206783830.4177899</v>
      </c>
      <c r="AK170" s="12">
        <v>2618837835.0250802</v>
      </c>
      <c r="AL170" s="12">
        <v>3013392657.9991102</v>
      </c>
      <c r="AM170" s="12">
        <v>1719864761.3062799</v>
      </c>
      <c r="AN170" s="12">
        <v>2033701497.97085</v>
      </c>
      <c r="AO170" s="12">
        <v>3319573749.6118999</v>
      </c>
      <c r="AP170" s="12">
        <v>3875785863.3832302</v>
      </c>
      <c r="AQ170" s="12">
        <v>2547609590.06984</v>
      </c>
      <c r="AR170" s="12">
        <v>2584478924.0608101</v>
      </c>
      <c r="AS170" s="12">
        <v>2537307580.3280802</v>
      </c>
      <c r="AT170" s="12">
        <v>2498008664.6690998</v>
      </c>
      <c r="AU170" s="12">
        <v>5087328437.8737001</v>
      </c>
      <c r="AV170" s="12">
        <v>4669789300.3566198</v>
      </c>
      <c r="AW170" s="12">
        <v>5058726350.4889603</v>
      </c>
      <c r="AX170" s="12">
        <v>5320409651.47544</v>
      </c>
      <c r="AY170" s="12">
        <v>5818279739.1435404</v>
      </c>
      <c r="AZ170" s="12">
        <v>6451210219.1168299</v>
      </c>
      <c r="BA170" s="12">
        <v>7743617352.2142696</v>
      </c>
      <c r="BB170" s="12">
        <v>9009887946.8203907</v>
      </c>
      <c r="BC170" s="12">
        <v>10128323010.6049</v>
      </c>
      <c r="BD170" s="12">
        <v>11648142958.365101</v>
      </c>
      <c r="BE170" s="12">
        <v>8773203178.1651192</v>
      </c>
      <c r="BF170" s="12">
        <v>8031571927.6205502</v>
      </c>
      <c r="BG170" s="12">
        <v>8801326169.1454697</v>
      </c>
      <c r="BH170" s="12">
        <v>9219474379.31534</v>
      </c>
      <c r="BI170" s="12">
        <v>7909868618.4636602</v>
      </c>
      <c r="BJ170" s="12">
        <v>8943543677.1889896</v>
      </c>
      <c r="BK170" s="12">
        <v>9880675785.9305706</v>
      </c>
      <c r="BL170" s="12">
        <v>11025371147.187599</v>
      </c>
      <c r="BM170" s="12">
        <v>12056108778.3125</v>
      </c>
      <c r="BN170" s="12">
        <v>12602334121.628599</v>
      </c>
      <c r="BO170" s="12">
        <v>13164667626.9363</v>
      </c>
    </row>
    <row r="171" spans="1:67" x14ac:dyDescent="0.2">
      <c r="A171" s="12" t="s">
        <v>73</v>
      </c>
      <c r="B171" s="12" t="s">
        <v>72</v>
      </c>
      <c r="C171" s="12" t="s">
        <v>978</v>
      </c>
      <c r="D171" s="12" t="s">
        <v>979</v>
      </c>
      <c r="E171" s="12">
        <v>1916229477.13657</v>
      </c>
      <c r="F171" s="12">
        <v>1901856122.7223101</v>
      </c>
      <c r="G171" s="12">
        <v>2001489602.1847501</v>
      </c>
      <c r="H171" s="12">
        <v>2510110348.16184</v>
      </c>
      <c r="I171" s="12">
        <v>2674423922.48842</v>
      </c>
      <c r="J171" s="12">
        <v>2956337669.2952499</v>
      </c>
      <c r="K171" s="12">
        <v>3143517943.8263202</v>
      </c>
      <c r="L171" s="12">
        <v>3188924677.08953</v>
      </c>
      <c r="M171" s="12">
        <v>3330371551.2116098</v>
      </c>
      <c r="N171" s="12">
        <v>3664552041.3429899</v>
      </c>
      <c r="O171" s="12">
        <v>3864145667.41365</v>
      </c>
      <c r="P171" s="12">
        <v>4244395955.7835798</v>
      </c>
      <c r="Q171" s="12">
        <v>5043347250.4181499</v>
      </c>
      <c r="R171" s="12">
        <v>7662902677.9027004</v>
      </c>
      <c r="S171" s="12">
        <v>9496204301.7498093</v>
      </c>
      <c r="T171" s="12">
        <v>9298800799.46702</v>
      </c>
      <c r="U171" s="12">
        <v>11050234598.624901</v>
      </c>
      <c r="V171" s="12">
        <v>13139488632.5546</v>
      </c>
      <c r="W171" s="12">
        <v>16358079862.1096</v>
      </c>
      <c r="X171" s="12">
        <v>21213264962.014099</v>
      </c>
      <c r="Y171" s="12">
        <v>24488224677.210499</v>
      </c>
      <c r="Z171" s="12">
        <v>25004285791.786499</v>
      </c>
      <c r="AA171" s="12">
        <v>26804493635.3297</v>
      </c>
      <c r="AB171" s="12">
        <v>30347442110.931599</v>
      </c>
      <c r="AC171" s="12">
        <v>33942897422.046501</v>
      </c>
      <c r="AD171" s="12">
        <v>31199633352.959801</v>
      </c>
      <c r="AE171" s="12">
        <v>27734111399.752499</v>
      </c>
      <c r="AF171" s="12">
        <v>32181210157.967098</v>
      </c>
      <c r="AG171" s="12">
        <v>35272109220.198799</v>
      </c>
      <c r="AH171" s="12">
        <v>38847965292.918503</v>
      </c>
      <c r="AI171" s="12">
        <v>44024585239.613701</v>
      </c>
      <c r="AJ171" s="12">
        <v>49143148094.268303</v>
      </c>
      <c r="AK171" s="12">
        <v>59167550162.956001</v>
      </c>
      <c r="AL171" s="12">
        <v>66894966968.973602</v>
      </c>
      <c r="AM171" s="12">
        <v>74478356957.780807</v>
      </c>
      <c r="AN171" s="12">
        <v>88705342902.711304</v>
      </c>
      <c r="AO171" s="12">
        <v>100855393910.48599</v>
      </c>
      <c r="AP171" s="12">
        <v>100005323301.867</v>
      </c>
      <c r="AQ171" s="12">
        <v>72167498980.839798</v>
      </c>
      <c r="AR171" s="12">
        <v>79148421052.631607</v>
      </c>
      <c r="AS171" s="12">
        <v>93789736842.105301</v>
      </c>
      <c r="AT171" s="12">
        <v>92783947368.421097</v>
      </c>
      <c r="AU171" s="12">
        <v>100845526315.789</v>
      </c>
      <c r="AV171" s="12">
        <v>110202368421.05299</v>
      </c>
      <c r="AW171" s="12">
        <v>124749473684.211</v>
      </c>
      <c r="AX171" s="12">
        <v>143534405818.50101</v>
      </c>
      <c r="AY171" s="12">
        <v>162692258307.056</v>
      </c>
      <c r="AZ171" s="12">
        <v>193549569477.733</v>
      </c>
      <c r="BA171" s="12">
        <v>230811614370.384</v>
      </c>
      <c r="BB171" s="12">
        <v>202257453036.64099</v>
      </c>
      <c r="BC171" s="12">
        <v>255017638455.59</v>
      </c>
      <c r="BD171" s="12">
        <v>297951668674.83502</v>
      </c>
      <c r="BE171" s="12">
        <v>314443047642.11102</v>
      </c>
      <c r="BF171" s="12">
        <v>323276235524.41498</v>
      </c>
      <c r="BG171" s="12">
        <v>338066095097.25403</v>
      </c>
      <c r="BH171" s="12">
        <v>301355266964.94702</v>
      </c>
      <c r="BI171" s="12">
        <v>301256033870.33398</v>
      </c>
      <c r="BJ171" s="12">
        <v>319109094160.34302</v>
      </c>
      <c r="BK171" s="12">
        <v>358788845712.53003</v>
      </c>
      <c r="BL171" s="12">
        <v>365177721021.51599</v>
      </c>
      <c r="BM171" s="12">
        <v>337456163961.211</v>
      </c>
      <c r="BN171" s="12">
        <v>373832428055.44897</v>
      </c>
      <c r="BO171" s="12">
        <v>407027451714.61603</v>
      </c>
    </row>
    <row r="172" spans="1:67" x14ac:dyDescent="0.2">
      <c r="A172" s="12" t="s">
        <v>874</v>
      </c>
      <c r="B172" s="12" t="s">
        <v>1059</v>
      </c>
      <c r="C172" s="12" t="s">
        <v>978</v>
      </c>
      <c r="D172" s="12" t="s">
        <v>979</v>
      </c>
      <c r="E172" s="12">
        <v>583846188345.23596</v>
      </c>
      <c r="F172" s="12">
        <v>604324202049.07202</v>
      </c>
      <c r="G172" s="12">
        <v>647421597616.224</v>
      </c>
      <c r="H172" s="12">
        <v>683726355211.81799</v>
      </c>
      <c r="I172" s="12">
        <v>735285089545.44202</v>
      </c>
      <c r="J172" s="12">
        <v>798329518631.00098</v>
      </c>
      <c r="K172" s="12">
        <v>876222557411.98706</v>
      </c>
      <c r="L172" s="12">
        <v>927523758481.21997</v>
      </c>
      <c r="M172" s="12">
        <v>1014479810519.9</v>
      </c>
      <c r="N172" s="12">
        <v>1099213311661.6899</v>
      </c>
      <c r="O172" s="12">
        <v>1161681557632.3101</v>
      </c>
      <c r="P172" s="12">
        <v>1264667554743.51</v>
      </c>
      <c r="Q172" s="12">
        <v>1392809248873.6201</v>
      </c>
      <c r="R172" s="12">
        <v>1557409843565.6399</v>
      </c>
      <c r="S172" s="12">
        <v>1706504788139.0601</v>
      </c>
      <c r="T172" s="12">
        <v>1859668757176.5601</v>
      </c>
      <c r="U172" s="12">
        <v>2081069912576.0701</v>
      </c>
      <c r="V172" s="12">
        <v>2294598176304.6499</v>
      </c>
      <c r="W172" s="12">
        <v>2571444342386.25</v>
      </c>
      <c r="X172" s="12">
        <v>2871741324295.71</v>
      </c>
      <c r="Y172" s="12">
        <v>3132696865996.0498</v>
      </c>
      <c r="Z172" s="12">
        <v>3515026742787.8599</v>
      </c>
      <c r="AA172" s="12">
        <v>3659222307440.6099</v>
      </c>
      <c r="AB172" s="12">
        <v>3976793677182.73</v>
      </c>
      <c r="AC172" s="12">
        <v>4395317100091.54</v>
      </c>
      <c r="AD172" s="12">
        <v>4706204512481.6504</v>
      </c>
      <c r="AE172" s="12">
        <v>4959811337023.7197</v>
      </c>
      <c r="AF172" s="12">
        <v>5289645738278.71</v>
      </c>
      <c r="AG172" s="12">
        <v>5747233127658.5498</v>
      </c>
      <c r="AH172" s="12">
        <v>6210293493275.2402</v>
      </c>
      <c r="AI172" s="12">
        <v>6560811991360.9902</v>
      </c>
      <c r="AJ172" s="12">
        <v>6772291612315.6201</v>
      </c>
      <c r="AK172" s="12">
        <v>7116394258318.8496</v>
      </c>
      <c r="AL172" s="12">
        <v>7439432921639.4004</v>
      </c>
      <c r="AM172" s="12">
        <v>7869047506907.2598</v>
      </c>
      <c r="AN172" s="12">
        <v>8247740840061.21</v>
      </c>
      <c r="AO172" s="12">
        <v>8706425384132.75</v>
      </c>
      <c r="AP172" s="12">
        <v>9235474283855.5508</v>
      </c>
      <c r="AQ172" s="12">
        <v>9699948950000</v>
      </c>
      <c r="AR172" s="12">
        <v>10312911118271.1</v>
      </c>
      <c r="AS172" s="12">
        <v>10999201631931.6</v>
      </c>
      <c r="AT172" s="12">
        <v>11324592049355.4</v>
      </c>
      <c r="AU172" s="12">
        <v>11693699517098</v>
      </c>
      <c r="AV172" s="12">
        <v>12356169212634.801</v>
      </c>
      <c r="AW172" s="12">
        <v>13248368139278.199</v>
      </c>
      <c r="AX172" s="12">
        <v>14217175927778.699</v>
      </c>
      <c r="AY172" s="12">
        <v>15140995757591</v>
      </c>
      <c r="AZ172" s="12">
        <v>15949814312783.301</v>
      </c>
      <c r="BA172" s="12">
        <v>16329827601721.699</v>
      </c>
      <c r="BB172" s="12">
        <v>15859346076157.301</v>
      </c>
      <c r="BC172" s="12">
        <v>16672942337486.301</v>
      </c>
      <c r="BD172" s="12">
        <v>17399367444174.5</v>
      </c>
      <c r="BE172" s="12">
        <v>18088716899521.602</v>
      </c>
      <c r="BF172" s="12">
        <v>18696254170835</v>
      </c>
      <c r="BG172" s="12">
        <v>19362844040439.898</v>
      </c>
      <c r="BH172" s="12">
        <v>19769184098217.102</v>
      </c>
      <c r="BI172" s="12">
        <v>20230005494907.398</v>
      </c>
      <c r="BJ172" s="12">
        <v>21133744509244.102</v>
      </c>
      <c r="BK172" s="12">
        <v>22265612481783</v>
      </c>
      <c r="BL172" s="12">
        <v>23132124767672.5</v>
      </c>
      <c r="BM172" s="12">
        <v>22723045490000.199</v>
      </c>
      <c r="BN172" s="12">
        <v>25329679941464.102</v>
      </c>
      <c r="BO172" s="12">
        <v>27608729369422</v>
      </c>
    </row>
    <row r="173" spans="1:67" x14ac:dyDescent="0.2">
      <c r="A173" s="12" t="s">
        <v>249</v>
      </c>
      <c r="B173" s="12" t="s">
        <v>248</v>
      </c>
      <c r="C173" s="12" t="s">
        <v>978</v>
      </c>
      <c r="D173" s="12" t="s">
        <v>979</v>
      </c>
      <c r="Y173" s="12">
        <v>2421990337.9924302</v>
      </c>
      <c r="Z173" s="12">
        <v>2249908577.8032498</v>
      </c>
      <c r="AA173" s="12">
        <v>2118710248.2372701</v>
      </c>
      <c r="AB173" s="12">
        <v>2297400687.5504899</v>
      </c>
      <c r="AC173" s="12">
        <v>1951260037.80985</v>
      </c>
      <c r="AD173" s="12">
        <v>1608237350.3987801</v>
      </c>
      <c r="AE173" s="12">
        <v>1809048527.15411</v>
      </c>
      <c r="AF173" s="12">
        <v>2300068217.0180898</v>
      </c>
      <c r="AG173" s="12">
        <v>2495094746.4402399</v>
      </c>
      <c r="AH173" s="12">
        <v>2535135797.58392</v>
      </c>
      <c r="AI173" s="12">
        <v>2789921853.3765202</v>
      </c>
      <c r="AJ173" s="12">
        <v>2996869281.4836402</v>
      </c>
      <c r="AK173" s="12">
        <v>3429521699.4025998</v>
      </c>
      <c r="AL173" s="12">
        <v>3251188833.14533</v>
      </c>
      <c r="AM173" s="12">
        <v>3666503529.6291099</v>
      </c>
      <c r="AN173" s="12">
        <v>3978514206.3116798</v>
      </c>
      <c r="AO173" s="12">
        <v>3989163196.5676699</v>
      </c>
      <c r="AP173" s="12">
        <v>4154989950.0039301</v>
      </c>
      <c r="AQ173" s="12">
        <v>3873109865.5568299</v>
      </c>
      <c r="AR173" s="12">
        <v>3868551730.3916302</v>
      </c>
      <c r="AS173" s="12">
        <v>3922232164.8317499</v>
      </c>
      <c r="AT173" s="12">
        <v>3557341215.1515899</v>
      </c>
      <c r="AU173" s="12">
        <v>3349169826.3889599</v>
      </c>
      <c r="AV173" s="12">
        <v>4926439383.5142498</v>
      </c>
      <c r="AW173" s="12">
        <v>6609205994.7740602</v>
      </c>
      <c r="AX173" s="12">
        <v>7248374837.7205601</v>
      </c>
      <c r="AY173" s="12">
        <v>8001779551.0632296</v>
      </c>
      <c r="AZ173" s="12">
        <v>8839536475.99963</v>
      </c>
      <c r="BA173" s="12">
        <v>8607431497.4947109</v>
      </c>
      <c r="BB173" s="12">
        <v>8938847189.0759201</v>
      </c>
      <c r="BC173" s="12">
        <v>11431412421.131599</v>
      </c>
      <c r="BD173" s="12">
        <v>12523359440.5499</v>
      </c>
      <c r="BE173" s="12">
        <v>13042053591.685699</v>
      </c>
      <c r="BF173" s="12">
        <v>12043307277.123501</v>
      </c>
      <c r="BG173" s="12">
        <v>12435430969.6301</v>
      </c>
      <c r="BH173" s="12">
        <v>11335161083.5061</v>
      </c>
      <c r="BI173" s="12">
        <v>10722018732.093599</v>
      </c>
      <c r="BJ173" s="12">
        <v>12895153160.466</v>
      </c>
      <c r="BK173" s="12">
        <v>13682018827.0434</v>
      </c>
      <c r="BL173" s="12">
        <v>12541928102.765699</v>
      </c>
      <c r="BM173" s="12">
        <v>10583748541.525801</v>
      </c>
      <c r="BN173" s="12">
        <v>12446290854.897301</v>
      </c>
      <c r="BO173" s="12">
        <v>12914932655.684999</v>
      </c>
    </row>
    <row r="174" spans="1:67" x14ac:dyDescent="0.2">
      <c r="A174" s="12" t="s">
        <v>943</v>
      </c>
      <c r="B174" s="12" t="s">
        <v>1060</v>
      </c>
      <c r="C174" s="12" t="s">
        <v>978</v>
      </c>
      <c r="D174" s="12" t="s">
        <v>979</v>
      </c>
      <c r="J174" s="12">
        <v>159594492.46365499</v>
      </c>
      <c r="K174" s="12">
        <v>164206536.445162</v>
      </c>
      <c r="L174" s="12">
        <v>180036767.64886099</v>
      </c>
      <c r="M174" s="12">
        <v>215507162.56893</v>
      </c>
      <c r="N174" s="12">
        <v>263108841.33841601</v>
      </c>
      <c r="O174" s="12">
        <v>358815684.07189202</v>
      </c>
      <c r="P174" s="12">
        <v>413985778.589656</v>
      </c>
      <c r="Q174" s="12">
        <v>506808996.69466102</v>
      </c>
      <c r="R174" s="12">
        <v>542293399.86261797</v>
      </c>
      <c r="S174" s="12">
        <v>637403478.492486</v>
      </c>
      <c r="T174" s="12">
        <v>816652164.40024102</v>
      </c>
      <c r="U174" s="12">
        <v>798313521.689803</v>
      </c>
      <c r="V174" s="12">
        <v>837620126.55852795</v>
      </c>
      <c r="W174" s="12">
        <v>846004687.758093</v>
      </c>
      <c r="X174" s="12">
        <v>1047225723.57386</v>
      </c>
      <c r="Y174" s="12">
        <v>1182463951.2181399</v>
      </c>
      <c r="Z174" s="12">
        <v>972564154.81513095</v>
      </c>
      <c r="AA174" s="12">
        <v>904599869.72583306</v>
      </c>
      <c r="AB174" s="12">
        <v>823857893.16312301</v>
      </c>
      <c r="AC174" s="12">
        <v>796066194.73857296</v>
      </c>
      <c r="AD174" s="12">
        <v>854820893.57713604</v>
      </c>
      <c r="AE174" s="12">
        <v>1201321513.76667</v>
      </c>
      <c r="AF174" s="12">
        <v>1488093101.5027499</v>
      </c>
      <c r="AG174" s="12">
        <v>2072775508.1479599</v>
      </c>
      <c r="AH174" s="12">
        <v>2185082938.9307799</v>
      </c>
      <c r="AI174" s="12">
        <v>2529440424.1664801</v>
      </c>
      <c r="AJ174" s="12">
        <v>2653780672.0955501</v>
      </c>
      <c r="AK174" s="12">
        <v>2923883281.0857902</v>
      </c>
      <c r="AL174" s="12">
        <v>2822243780.97543</v>
      </c>
      <c r="AM174" s="12">
        <v>3038728384.8663402</v>
      </c>
      <c r="AN174" s="12">
        <v>3628440505.1419301</v>
      </c>
      <c r="AO174" s="12">
        <v>3606968435.9991698</v>
      </c>
      <c r="AP174" s="12">
        <v>3291131281.0409899</v>
      </c>
      <c r="AQ174" s="12">
        <v>3556304832.6810398</v>
      </c>
      <c r="AR174" s="12">
        <v>3647802049.8091102</v>
      </c>
      <c r="AS174" s="12">
        <v>3420032041.0738502</v>
      </c>
      <c r="AT174" s="12">
        <v>3297734891.1466098</v>
      </c>
      <c r="AU174" s="12">
        <v>3740056747.71979</v>
      </c>
      <c r="AV174" s="12">
        <v>4915353827.1057596</v>
      </c>
      <c r="AW174" s="12">
        <v>5895008977.9531002</v>
      </c>
      <c r="AX174" s="12">
        <v>6238629487.0133104</v>
      </c>
      <c r="AY174" s="12">
        <v>6979155387.8679199</v>
      </c>
      <c r="AZ174" s="12">
        <v>8819917180.3426495</v>
      </c>
      <c r="BA174" s="12">
        <v>9067619760.0707302</v>
      </c>
      <c r="BB174" s="12">
        <v>8704438102.2014198</v>
      </c>
      <c r="BC174" s="12">
        <v>9364350076.9122505</v>
      </c>
      <c r="BD174" s="12">
        <v>10351448004.767401</v>
      </c>
      <c r="BE174" s="12">
        <v>9659151917.4048405</v>
      </c>
      <c r="BF174" s="12">
        <v>10151382933.159401</v>
      </c>
      <c r="BG174" s="12">
        <v>10635035594.7528</v>
      </c>
      <c r="BH174" s="12">
        <v>8738203074.3957005</v>
      </c>
      <c r="BI174" s="12">
        <v>8724568954.8979893</v>
      </c>
      <c r="BJ174" s="12">
        <v>9174048681.9857693</v>
      </c>
      <c r="BK174" s="12">
        <v>9896402283.6858692</v>
      </c>
      <c r="BL174" s="12">
        <v>9475655324.5949497</v>
      </c>
      <c r="BM174" s="12">
        <v>9454629467.9140797</v>
      </c>
      <c r="BN174" s="12">
        <v>10071349663.8484</v>
      </c>
      <c r="BO174" s="12">
        <v>9623318718.3145905</v>
      </c>
    </row>
    <row r="175" spans="1:67" x14ac:dyDescent="0.2">
      <c r="A175" s="12" t="s">
        <v>327</v>
      </c>
      <c r="B175" s="12" t="s">
        <v>326</v>
      </c>
      <c r="C175" s="12" t="s">
        <v>978</v>
      </c>
      <c r="D175" s="12" t="s">
        <v>979</v>
      </c>
      <c r="E175" s="12">
        <v>449526873.29588997</v>
      </c>
      <c r="F175" s="12">
        <v>485785230.97898698</v>
      </c>
      <c r="G175" s="12">
        <v>531736599.25046402</v>
      </c>
      <c r="H175" s="12">
        <v>586294878.74464297</v>
      </c>
      <c r="I175" s="12">
        <v>582816396.40440905</v>
      </c>
      <c r="J175" s="12">
        <v>673383510.81286597</v>
      </c>
      <c r="K175" s="12">
        <v>702296078.59317303</v>
      </c>
      <c r="L175" s="12">
        <v>665586872.27444601</v>
      </c>
      <c r="M175" s="12">
        <v>641214226.20949304</v>
      </c>
      <c r="N175" s="12">
        <v>625867985.27379799</v>
      </c>
      <c r="O175" s="12">
        <v>649916621.24297798</v>
      </c>
      <c r="P175" s="12">
        <v>693573703.63027298</v>
      </c>
      <c r="Q175" s="12">
        <v>742779660.81869304</v>
      </c>
      <c r="R175" s="12">
        <v>946385105.19373202</v>
      </c>
      <c r="S175" s="12">
        <v>1026137110.89309</v>
      </c>
      <c r="T175" s="12">
        <v>1048690933.21027</v>
      </c>
      <c r="U175" s="12">
        <v>1064517601.2902499</v>
      </c>
      <c r="V175" s="12">
        <v>1291458041.46193</v>
      </c>
      <c r="W175" s="12">
        <v>1774365589.7081499</v>
      </c>
      <c r="X175" s="12">
        <v>2109277665.69912</v>
      </c>
      <c r="Y175" s="12">
        <v>2508524720.7189498</v>
      </c>
      <c r="Z175" s="12">
        <v>2170893414.3888001</v>
      </c>
      <c r="AA175" s="12">
        <v>2017612215.9793501</v>
      </c>
      <c r="AB175" s="12">
        <v>1803099561.20046</v>
      </c>
      <c r="AC175" s="12">
        <v>1461243326.1288199</v>
      </c>
      <c r="AD175" s="12">
        <v>1440581652.39853</v>
      </c>
      <c r="AE175" s="12">
        <v>1904096998.3000901</v>
      </c>
      <c r="AF175" s="12">
        <v>2233006104.9277601</v>
      </c>
      <c r="AG175" s="12">
        <v>2280356192.7627301</v>
      </c>
      <c r="AH175" s="12">
        <v>2179567114.33391</v>
      </c>
      <c r="AI175" s="12">
        <v>3512356507.8859901</v>
      </c>
      <c r="AJ175" s="12">
        <v>3285796874.9712501</v>
      </c>
      <c r="AK175" s="12">
        <v>3386232579.2252202</v>
      </c>
      <c r="AL175" s="12">
        <v>3052673849.2518101</v>
      </c>
      <c r="AM175" s="12">
        <v>1938058175.21399</v>
      </c>
      <c r="AN175" s="12">
        <v>2302537562.24406</v>
      </c>
      <c r="AO175" s="12">
        <v>2405686940.0464001</v>
      </c>
      <c r="AP175" s="12">
        <v>2290318910.2065802</v>
      </c>
      <c r="AQ175" s="12">
        <v>2643363518.9927201</v>
      </c>
      <c r="AR175" s="12">
        <v>2537789820.6929498</v>
      </c>
      <c r="AS175" s="12">
        <v>2241753192.8115802</v>
      </c>
      <c r="AT175" s="12">
        <v>2448714703.9661698</v>
      </c>
      <c r="AU175" s="12">
        <v>2782192878.67204</v>
      </c>
      <c r="AV175" s="12">
        <v>3394084732.49543</v>
      </c>
      <c r="AW175" s="12">
        <v>3760443737.5379701</v>
      </c>
      <c r="AX175" s="12">
        <v>4383315964.5871801</v>
      </c>
      <c r="AY175" s="12">
        <v>4756361252.3792295</v>
      </c>
      <c r="AZ175" s="12">
        <v>5731485051.7906904</v>
      </c>
      <c r="BA175" s="12">
        <v>7297600226.0053596</v>
      </c>
      <c r="BB175" s="12">
        <v>7352131309.7334099</v>
      </c>
      <c r="BC175" s="12">
        <v>7851192502.3091698</v>
      </c>
      <c r="BD175" s="12">
        <v>8772950777.7917595</v>
      </c>
      <c r="BE175" s="12">
        <v>9426912647.5911102</v>
      </c>
      <c r="BF175" s="12">
        <v>10224897437.864799</v>
      </c>
      <c r="BG175" s="12">
        <v>10862943543.541901</v>
      </c>
      <c r="BH175" s="12">
        <v>9683867926.4428196</v>
      </c>
      <c r="BI175" s="12">
        <v>10398861981.758301</v>
      </c>
      <c r="BJ175" s="12">
        <v>11185104251.678499</v>
      </c>
      <c r="BK175" s="12">
        <v>12837307496.8797</v>
      </c>
      <c r="BL175" s="12">
        <v>12889555561.304001</v>
      </c>
      <c r="BM175" s="12">
        <v>13744653102.994499</v>
      </c>
      <c r="BN175" s="12">
        <v>14915002435.991301</v>
      </c>
      <c r="BO175" s="12">
        <v>15342278919.4009</v>
      </c>
    </row>
    <row r="176" spans="1:67" x14ac:dyDescent="0.2">
      <c r="A176" s="12" t="s">
        <v>61</v>
      </c>
      <c r="B176" s="12" t="s">
        <v>60</v>
      </c>
      <c r="C176" s="12" t="s">
        <v>978</v>
      </c>
      <c r="D176" s="12" t="s">
        <v>979</v>
      </c>
      <c r="E176" s="12">
        <v>4196174501.5302</v>
      </c>
      <c r="F176" s="12">
        <v>4467287893.0848398</v>
      </c>
      <c r="G176" s="12">
        <v>4909399176.2403297</v>
      </c>
      <c r="H176" s="12">
        <v>5165590253.7638998</v>
      </c>
      <c r="I176" s="12">
        <v>5552931318.8274698</v>
      </c>
      <c r="J176" s="12">
        <v>5874537650.1849403</v>
      </c>
      <c r="K176" s="12">
        <v>6366917453.2330198</v>
      </c>
      <c r="L176" s="12">
        <v>5203237918.7048302</v>
      </c>
      <c r="M176" s="12">
        <v>5200997919.6008301</v>
      </c>
      <c r="N176" s="12">
        <v>6634317346.2730598</v>
      </c>
      <c r="O176" s="12">
        <v>12546094981.562</v>
      </c>
      <c r="P176" s="12">
        <v>9181769911.5044308</v>
      </c>
      <c r="Q176" s="12">
        <v>12274416017.7976</v>
      </c>
      <c r="R176" s="12">
        <v>15162871287.1287</v>
      </c>
      <c r="S176" s="12">
        <v>24846641318.124199</v>
      </c>
      <c r="T176" s="12">
        <v>27778934624.6973</v>
      </c>
      <c r="U176" s="12">
        <v>36308883248.731003</v>
      </c>
      <c r="V176" s="12">
        <v>36035407725.321899</v>
      </c>
      <c r="W176" s="12">
        <v>36527862208.713303</v>
      </c>
      <c r="X176" s="12">
        <v>47259911894.273102</v>
      </c>
      <c r="Y176" s="12">
        <v>64201788122.6054</v>
      </c>
      <c r="Z176" s="12">
        <v>164475209515.939</v>
      </c>
      <c r="AA176" s="12">
        <v>142769363314.17599</v>
      </c>
      <c r="AB176" s="12">
        <v>97094911792.048904</v>
      </c>
      <c r="AC176" s="12">
        <v>73484359521.488693</v>
      </c>
      <c r="AD176" s="12">
        <v>73745821158.225403</v>
      </c>
      <c r="AE176" s="12">
        <v>54805852580.912903</v>
      </c>
      <c r="AF176" s="12">
        <v>52676041931.108704</v>
      </c>
      <c r="AG176" s="12">
        <v>49648470440.459297</v>
      </c>
      <c r="AH176" s="12">
        <v>44003061108.400497</v>
      </c>
      <c r="AI176" s="12">
        <v>54035795387.808601</v>
      </c>
      <c r="AJ176" s="12">
        <v>59526833412.358101</v>
      </c>
      <c r="AK176" s="12">
        <v>52058181853.805496</v>
      </c>
      <c r="AL176" s="12">
        <v>56721051402.473198</v>
      </c>
      <c r="AM176" s="12">
        <v>80399613063.636398</v>
      </c>
      <c r="AN176" s="12">
        <v>140919776986.36401</v>
      </c>
      <c r="AO176" s="12">
        <v>185730236700</v>
      </c>
      <c r="AP176" s="12">
        <v>200850397618.18201</v>
      </c>
      <c r="AQ176" s="12">
        <v>218416200672.72699</v>
      </c>
      <c r="AR176" s="12">
        <v>59145077039.1437</v>
      </c>
      <c r="AS176" s="12">
        <v>69171451627.246506</v>
      </c>
      <c r="AT176" s="12">
        <v>73557840064.488998</v>
      </c>
      <c r="AU176" s="12">
        <v>95054059302.699493</v>
      </c>
      <c r="AV176" s="12">
        <v>104738954264.226</v>
      </c>
      <c r="AW176" s="12">
        <v>135764731645.61099</v>
      </c>
      <c r="AX176" s="12">
        <v>175670569969.34601</v>
      </c>
      <c r="AY176" s="12">
        <v>238454997161.48001</v>
      </c>
      <c r="AZ176" s="12">
        <v>278260846800.10303</v>
      </c>
      <c r="BA176" s="12">
        <v>339476276257.79303</v>
      </c>
      <c r="BB176" s="12">
        <v>295008835380.99701</v>
      </c>
      <c r="BC176" s="12">
        <v>366990417129.03998</v>
      </c>
      <c r="BD176" s="12">
        <v>414466676831.15997</v>
      </c>
      <c r="BE176" s="12">
        <v>463971018239.28101</v>
      </c>
      <c r="BF176" s="12">
        <v>520117180313.90601</v>
      </c>
      <c r="BG176" s="12">
        <v>574183763411.50806</v>
      </c>
      <c r="BH176" s="12">
        <v>493026682800.63</v>
      </c>
      <c r="BI176" s="12">
        <v>404649125252.15997</v>
      </c>
      <c r="BJ176" s="12">
        <v>375745731053.427</v>
      </c>
      <c r="BK176" s="12">
        <v>421739251509.08002</v>
      </c>
      <c r="BL176" s="12">
        <v>474517491092.91302</v>
      </c>
      <c r="BM176" s="12">
        <v>432198898221.96698</v>
      </c>
      <c r="BN176" s="12">
        <v>440838992188.47803</v>
      </c>
      <c r="BO176" s="12">
        <v>472624597402.89801</v>
      </c>
    </row>
    <row r="177" spans="1:67" x14ac:dyDescent="0.2">
      <c r="A177" s="12" t="s">
        <v>239</v>
      </c>
      <c r="B177" s="12" t="s">
        <v>238</v>
      </c>
      <c r="C177" s="12" t="s">
        <v>978</v>
      </c>
      <c r="D177" s="12" t="s">
        <v>979</v>
      </c>
      <c r="AG177" s="12">
        <v>2588999218.7600002</v>
      </c>
      <c r="AH177" s="12">
        <v>1013211920.5298001</v>
      </c>
      <c r="AI177" s="12">
        <v>1009455483.87097</v>
      </c>
      <c r="AJ177" s="12">
        <v>1488804123.71134</v>
      </c>
      <c r="AK177" s="12">
        <v>1792800000</v>
      </c>
      <c r="AL177" s="12">
        <v>1756454248.36601</v>
      </c>
      <c r="AM177" s="12">
        <v>3863185119.0476198</v>
      </c>
      <c r="AN177" s="12">
        <v>4140470000</v>
      </c>
      <c r="AO177" s="12">
        <v>4308351902.7860098</v>
      </c>
      <c r="AP177" s="12">
        <v>4389973489.8603201</v>
      </c>
      <c r="AQ177" s="12">
        <v>4635267224.8419504</v>
      </c>
      <c r="AR177" s="12">
        <v>4855717874.6824703</v>
      </c>
      <c r="AS177" s="12">
        <v>5107329007.0922003</v>
      </c>
      <c r="AT177" s="12">
        <v>5323146565.7031498</v>
      </c>
      <c r="AU177" s="12">
        <v>5224213017.5438604</v>
      </c>
      <c r="AV177" s="12">
        <v>5322454925.8474598</v>
      </c>
      <c r="AW177" s="12">
        <v>5795568204.6453199</v>
      </c>
      <c r="AX177" s="12">
        <v>6321324279.1482601</v>
      </c>
      <c r="AY177" s="12">
        <v>6763418645.8137703</v>
      </c>
      <c r="AZ177" s="12">
        <v>7423365339.1770601</v>
      </c>
      <c r="BA177" s="12">
        <v>8496948362.7209196</v>
      </c>
      <c r="BB177" s="12">
        <v>8298736418.1644402</v>
      </c>
      <c r="BC177" s="12">
        <v>8758619000.7524204</v>
      </c>
      <c r="BD177" s="12">
        <v>9774319976.7787304</v>
      </c>
      <c r="BE177" s="12">
        <v>10531980241.447399</v>
      </c>
      <c r="BF177" s="12">
        <v>10982995267.0341</v>
      </c>
      <c r="BG177" s="12">
        <v>11880434070.781099</v>
      </c>
      <c r="BH177" s="12">
        <v>12756685522.4807</v>
      </c>
      <c r="BI177" s="12">
        <v>13286101284.785601</v>
      </c>
      <c r="BJ177" s="12">
        <v>13785924374.215099</v>
      </c>
      <c r="BK177" s="12">
        <v>13025234958.646999</v>
      </c>
      <c r="BL177" s="12">
        <v>12699028991.3771</v>
      </c>
      <c r="BM177" s="12">
        <v>12678162403.592899</v>
      </c>
      <c r="BN177" s="12">
        <v>14145880399.193501</v>
      </c>
      <c r="BO177" s="12">
        <v>15671583939.988899</v>
      </c>
    </row>
    <row r="178" spans="1:67" x14ac:dyDescent="0.2">
      <c r="A178" s="12" t="s">
        <v>7</v>
      </c>
      <c r="B178" s="12" t="s">
        <v>6</v>
      </c>
      <c r="C178" s="12" t="s">
        <v>978</v>
      </c>
      <c r="D178" s="12" t="s">
        <v>979</v>
      </c>
      <c r="E178" s="12">
        <v>12276734172.0828</v>
      </c>
      <c r="F178" s="12">
        <v>13493833739.9949</v>
      </c>
      <c r="G178" s="12">
        <v>14647057370.1418</v>
      </c>
      <c r="H178" s="12">
        <v>15891241386.291</v>
      </c>
      <c r="I178" s="12">
        <v>18699380731.3465</v>
      </c>
      <c r="J178" s="12">
        <v>21000586933.204102</v>
      </c>
      <c r="K178" s="12">
        <v>22867203317.402199</v>
      </c>
      <c r="L178" s="12">
        <v>25087562181.3218</v>
      </c>
      <c r="M178" s="12">
        <v>27817605743.250301</v>
      </c>
      <c r="N178" s="12">
        <v>34035946604.181499</v>
      </c>
      <c r="O178" s="12">
        <v>38164716625.068497</v>
      </c>
      <c r="P178" s="12">
        <v>44579122807.017502</v>
      </c>
      <c r="Q178" s="12">
        <v>54706557264.487801</v>
      </c>
      <c r="R178" s="12">
        <v>71840909664.196793</v>
      </c>
      <c r="S178" s="12">
        <v>87243413394.540497</v>
      </c>
      <c r="T178" s="12">
        <v>100249523353.08501</v>
      </c>
      <c r="U178" s="12">
        <v>109168720620.103</v>
      </c>
      <c r="V178" s="12">
        <v>127016990212.804</v>
      </c>
      <c r="W178" s="12">
        <v>155859695457.323</v>
      </c>
      <c r="X178" s="12">
        <v>179669405690.43201</v>
      </c>
      <c r="Y178" s="12">
        <v>195152092662.38101</v>
      </c>
      <c r="Z178" s="12">
        <v>164134217080.27899</v>
      </c>
      <c r="AA178" s="12">
        <v>158479527935.95801</v>
      </c>
      <c r="AB178" s="12">
        <v>153445465987.18201</v>
      </c>
      <c r="AC178" s="12">
        <v>143912664148.35199</v>
      </c>
      <c r="AD178" s="12">
        <v>143845822717.62201</v>
      </c>
      <c r="AE178" s="12">
        <v>200862095700.66599</v>
      </c>
      <c r="AF178" s="12">
        <v>245046310922.54099</v>
      </c>
      <c r="AG178" s="12">
        <v>261910508417.884</v>
      </c>
      <c r="AH178" s="12">
        <v>258336705808.99899</v>
      </c>
      <c r="AI178" s="12">
        <v>318330511920.60999</v>
      </c>
      <c r="AJ178" s="12">
        <v>327500327675.625</v>
      </c>
      <c r="AK178" s="12">
        <v>362962872180.45099</v>
      </c>
      <c r="AL178" s="12">
        <v>353550169672.52002</v>
      </c>
      <c r="AM178" s="12">
        <v>379130260322.073</v>
      </c>
      <c r="AN178" s="12">
        <v>452301674444.13898</v>
      </c>
      <c r="AO178" s="12">
        <v>450490196078.43103</v>
      </c>
      <c r="AP178" s="12">
        <v>416812740004.51801</v>
      </c>
      <c r="AQ178" s="12">
        <v>438008220395.46802</v>
      </c>
      <c r="AR178" s="12">
        <v>447049523049.80798</v>
      </c>
      <c r="AS178" s="12">
        <v>417479337444.70697</v>
      </c>
      <c r="AT178" s="12">
        <v>431586852369.68597</v>
      </c>
      <c r="AU178" s="12">
        <v>473861980070.98102</v>
      </c>
      <c r="AV178" s="12">
        <v>580070360701.95996</v>
      </c>
      <c r="AW178" s="12">
        <v>658380081545.17505</v>
      </c>
      <c r="AX178" s="12">
        <v>685348181515.953</v>
      </c>
      <c r="AY178" s="12">
        <v>733955269898.823</v>
      </c>
      <c r="AZ178" s="12">
        <v>848558887541.17896</v>
      </c>
      <c r="BA178" s="12">
        <v>951869997864.06201</v>
      </c>
      <c r="BB178" s="12">
        <v>871518638049.21802</v>
      </c>
      <c r="BC178" s="12">
        <v>847380859016.66797</v>
      </c>
      <c r="BD178" s="12">
        <v>905270626332.68701</v>
      </c>
      <c r="BE178" s="12">
        <v>838923319919.53101</v>
      </c>
      <c r="BF178" s="12">
        <v>877172824534.51196</v>
      </c>
      <c r="BG178" s="12">
        <v>892167986713.72205</v>
      </c>
      <c r="BH178" s="12">
        <v>765572770634.375</v>
      </c>
      <c r="BI178" s="12">
        <v>784060430240.07996</v>
      </c>
      <c r="BJ178" s="12">
        <v>833869641687.06006</v>
      </c>
      <c r="BK178" s="12">
        <v>914043438179.60706</v>
      </c>
      <c r="BL178" s="12">
        <v>910194347568.62598</v>
      </c>
      <c r="BM178" s="12">
        <v>909793466661.48096</v>
      </c>
      <c r="BN178" s="12">
        <v>1029678338329.4399</v>
      </c>
      <c r="BO178" s="12">
        <v>1009398719033.08</v>
      </c>
    </row>
    <row r="179" spans="1:67" x14ac:dyDescent="0.2">
      <c r="A179" s="12" t="s">
        <v>13</v>
      </c>
      <c r="B179" s="12" t="s">
        <v>12</v>
      </c>
      <c r="C179" s="12" t="s">
        <v>978</v>
      </c>
      <c r="D179" s="12" t="s">
        <v>979</v>
      </c>
      <c r="E179" s="12">
        <v>5163271598.1570196</v>
      </c>
      <c r="F179" s="12">
        <v>5632460936.5457602</v>
      </c>
      <c r="G179" s="12">
        <v>6066976682.6736403</v>
      </c>
      <c r="H179" s="12">
        <v>6510239502.7648897</v>
      </c>
      <c r="I179" s="12">
        <v>7159202706.4802704</v>
      </c>
      <c r="J179" s="12">
        <v>8058681060.1590004</v>
      </c>
      <c r="K179" s="12">
        <v>8696460205.3397007</v>
      </c>
      <c r="L179" s="12">
        <v>9514496703.3976192</v>
      </c>
      <c r="M179" s="12">
        <v>10159934136.7838</v>
      </c>
      <c r="N179" s="12">
        <v>11063065083.4888</v>
      </c>
      <c r="O179" s="12">
        <v>12814123115.261299</v>
      </c>
      <c r="P179" s="12">
        <v>14583114840.062901</v>
      </c>
      <c r="Q179" s="12">
        <v>17358610849.701</v>
      </c>
      <c r="R179" s="12">
        <v>22534253702.868599</v>
      </c>
      <c r="S179" s="12">
        <v>27145693810.134102</v>
      </c>
      <c r="T179" s="12">
        <v>32877805200.022999</v>
      </c>
      <c r="U179" s="12">
        <v>35942270686.337402</v>
      </c>
      <c r="V179" s="12">
        <v>41508030431.107399</v>
      </c>
      <c r="W179" s="12">
        <v>46522900253.705399</v>
      </c>
      <c r="X179" s="12">
        <v>53132244623.921303</v>
      </c>
      <c r="Y179" s="12">
        <v>64439382896.015602</v>
      </c>
      <c r="Z179" s="12">
        <v>63596654760.867699</v>
      </c>
      <c r="AA179" s="12">
        <v>62647195537.6511</v>
      </c>
      <c r="AB179" s="12">
        <v>61627240831.094803</v>
      </c>
      <c r="AC179" s="12">
        <v>62057955032.775803</v>
      </c>
      <c r="AD179" s="12">
        <v>65416879914.390701</v>
      </c>
      <c r="AE179" s="12">
        <v>78693118044.004501</v>
      </c>
      <c r="AF179" s="12">
        <v>94229907235.621506</v>
      </c>
      <c r="AG179" s="12">
        <v>101900260856.222</v>
      </c>
      <c r="AH179" s="12">
        <v>102633934390.61501</v>
      </c>
      <c r="AI179" s="12">
        <v>119791843059.57201</v>
      </c>
      <c r="AJ179" s="12">
        <v>121872464483.487</v>
      </c>
      <c r="AK179" s="12">
        <v>130838040067.584</v>
      </c>
      <c r="AL179" s="12">
        <v>120579213712.804</v>
      </c>
      <c r="AM179" s="12">
        <v>127131319428.701</v>
      </c>
      <c r="AN179" s="12">
        <v>152029612324.78799</v>
      </c>
      <c r="AO179" s="12">
        <v>163520109150.67099</v>
      </c>
      <c r="AP179" s="12">
        <v>161356631888.48401</v>
      </c>
      <c r="AQ179" s="12">
        <v>154230295158.44699</v>
      </c>
      <c r="AR179" s="12">
        <v>162383706021.13</v>
      </c>
      <c r="AS179" s="12">
        <v>171457201935.96799</v>
      </c>
      <c r="AT179" s="12">
        <v>174239354070.97699</v>
      </c>
      <c r="AU179" s="12">
        <v>195914852576.46701</v>
      </c>
      <c r="AV179" s="12">
        <v>229385469337.02399</v>
      </c>
      <c r="AW179" s="12">
        <v>265268662473.297</v>
      </c>
      <c r="AX179" s="12">
        <v>309978579743.888</v>
      </c>
      <c r="AY179" s="12">
        <v>346915160681.70801</v>
      </c>
      <c r="AZ179" s="12">
        <v>402643260487.57202</v>
      </c>
      <c r="BA179" s="12">
        <v>464917553191.48901</v>
      </c>
      <c r="BB179" s="12">
        <v>387976400617.01898</v>
      </c>
      <c r="BC179" s="12">
        <v>431052143940.43799</v>
      </c>
      <c r="BD179" s="12">
        <v>501360549669.40399</v>
      </c>
      <c r="BE179" s="12">
        <v>512777309840.99701</v>
      </c>
      <c r="BF179" s="12">
        <v>526014468085.10602</v>
      </c>
      <c r="BG179" s="12">
        <v>501736471832.84802</v>
      </c>
      <c r="BH179" s="12">
        <v>388159512245.53003</v>
      </c>
      <c r="BI179" s="12">
        <v>370956547619.04797</v>
      </c>
      <c r="BJ179" s="12">
        <v>401745275035.26099</v>
      </c>
      <c r="BK179" s="12">
        <v>439788625883.79999</v>
      </c>
      <c r="BL179" s="12">
        <v>408742840909.091</v>
      </c>
      <c r="BM179" s="12">
        <v>367633418886.62701</v>
      </c>
      <c r="BN179" s="12">
        <v>503367986030.26801</v>
      </c>
      <c r="BO179" s="12">
        <v>593348981537.66101</v>
      </c>
    </row>
    <row r="180" spans="1:67" x14ac:dyDescent="0.2">
      <c r="A180" s="12" t="s">
        <v>231</v>
      </c>
      <c r="B180" s="12" t="s">
        <v>230</v>
      </c>
      <c r="C180" s="12" t="s">
        <v>978</v>
      </c>
      <c r="D180" s="12" t="s">
        <v>979</v>
      </c>
      <c r="E180" s="12">
        <v>508334413.965087</v>
      </c>
      <c r="F180" s="12">
        <v>531959561.16012102</v>
      </c>
      <c r="G180" s="12">
        <v>574091100.69564104</v>
      </c>
      <c r="H180" s="12">
        <v>496947904.44303298</v>
      </c>
      <c r="I180" s="12">
        <v>496098775.30864203</v>
      </c>
      <c r="J180" s="12">
        <v>735267081.65550196</v>
      </c>
      <c r="K180" s="12">
        <v>906811943.82464898</v>
      </c>
      <c r="L180" s="12">
        <v>841974025.462659</v>
      </c>
      <c r="M180" s="12">
        <v>772231413.88262498</v>
      </c>
      <c r="N180" s="12">
        <v>788641964.64345706</v>
      </c>
      <c r="O180" s="12">
        <v>865975307.77600002</v>
      </c>
      <c r="P180" s="12">
        <v>882765470.72217298</v>
      </c>
      <c r="Q180" s="12">
        <v>1024098397.79931</v>
      </c>
      <c r="R180" s="12">
        <v>972101724.995368</v>
      </c>
      <c r="S180" s="12">
        <v>1217953546.9760399</v>
      </c>
      <c r="T180" s="12">
        <v>1575789254.4693799</v>
      </c>
      <c r="U180" s="12">
        <v>1452788944.45628</v>
      </c>
      <c r="V180" s="12">
        <v>1382400000</v>
      </c>
      <c r="W180" s="12">
        <v>1604162497.45945</v>
      </c>
      <c r="X180" s="12">
        <v>1851250008.3333299</v>
      </c>
      <c r="Y180" s="12">
        <v>1945916583.3333299</v>
      </c>
      <c r="Z180" s="12">
        <v>2275583316.6666698</v>
      </c>
      <c r="AA180" s="12">
        <v>2395423680.2285199</v>
      </c>
      <c r="AB180" s="12">
        <v>2447174803.5405102</v>
      </c>
      <c r="AC180" s="12">
        <v>2581207387.7970901</v>
      </c>
      <c r="AD180" s="12">
        <v>2619913955.5155602</v>
      </c>
      <c r="AE180" s="12">
        <v>2850782092.6938701</v>
      </c>
      <c r="AF180" s="12">
        <v>2957255379.5431499</v>
      </c>
      <c r="AG180" s="12">
        <v>3487009748.35638</v>
      </c>
      <c r="AH180" s="12">
        <v>3525225832.99053</v>
      </c>
      <c r="AI180" s="12">
        <v>3627560281.9050498</v>
      </c>
      <c r="AJ180" s="12">
        <v>3921476084.8907199</v>
      </c>
      <c r="AK180" s="12">
        <v>3401211581.29176</v>
      </c>
      <c r="AL180" s="12">
        <v>3660041666.6666698</v>
      </c>
      <c r="AM180" s="12">
        <v>4066775510.2040801</v>
      </c>
      <c r="AN180" s="12">
        <v>4401104417.67068</v>
      </c>
      <c r="AO180" s="12">
        <v>4521580381.4713898</v>
      </c>
      <c r="AP180" s="12">
        <v>4918691916.5351601</v>
      </c>
      <c r="AQ180" s="12">
        <v>4856255044.3906403</v>
      </c>
      <c r="AR180" s="12">
        <v>5033642384.1059599</v>
      </c>
      <c r="AS180" s="12">
        <v>5494252207.9050198</v>
      </c>
      <c r="AT180" s="12">
        <v>6007055042.1768703</v>
      </c>
      <c r="AU180" s="12">
        <v>6050875806.6640301</v>
      </c>
      <c r="AV180" s="12">
        <v>6330473096.5407104</v>
      </c>
      <c r="AW180" s="12">
        <v>7273938314.7198801</v>
      </c>
      <c r="AX180" s="12">
        <v>8130258415.2547703</v>
      </c>
      <c r="AY180" s="12">
        <v>9043715355.8880997</v>
      </c>
      <c r="AZ180" s="12">
        <v>10325618017.379</v>
      </c>
      <c r="BA180" s="12">
        <v>12545438605.395901</v>
      </c>
      <c r="BB180" s="12">
        <v>12854985464.076401</v>
      </c>
      <c r="BC180" s="12">
        <v>16002656434.4746</v>
      </c>
      <c r="BD180" s="12">
        <v>21573872273.837502</v>
      </c>
      <c r="BE180" s="12">
        <v>21703100747.479698</v>
      </c>
      <c r="BF180" s="12">
        <v>22162205046.021999</v>
      </c>
      <c r="BG180" s="12">
        <v>22731612827.063202</v>
      </c>
      <c r="BH180" s="12">
        <v>24360801337.694401</v>
      </c>
      <c r="BI180" s="12">
        <v>24524109483.529301</v>
      </c>
      <c r="BJ180" s="12">
        <v>28971588880.354599</v>
      </c>
      <c r="BK180" s="12">
        <v>33111525183.2178</v>
      </c>
      <c r="BL180" s="12">
        <v>34186180695.996899</v>
      </c>
      <c r="BM180" s="12">
        <v>33433659223.634899</v>
      </c>
      <c r="BN180" s="12">
        <v>36924841428.718201</v>
      </c>
      <c r="BO180" s="12">
        <v>40828247303.533699</v>
      </c>
    </row>
    <row r="181" spans="1:67" x14ac:dyDescent="0.2">
      <c r="A181" s="12" t="s">
        <v>369</v>
      </c>
      <c r="B181" s="12" t="s">
        <v>368</v>
      </c>
      <c r="C181" s="12" t="s">
        <v>978</v>
      </c>
      <c r="D181" s="12" t="s">
        <v>979</v>
      </c>
      <c r="BC181" s="12">
        <v>47562844.6104251</v>
      </c>
      <c r="BD181" s="12">
        <v>65071879.778716199</v>
      </c>
      <c r="BE181" s="12">
        <v>101055722.95058</v>
      </c>
      <c r="BF181" s="12">
        <v>94385014.942584202</v>
      </c>
      <c r="BG181" s="12">
        <v>99149244.400133297</v>
      </c>
      <c r="BH181" s="12">
        <v>84863440.580199704</v>
      </c>
      <c r="BI181" s="12">
        <v>97541943.035505295</v>
      </c>
      <c r="BJ181" s="12">
        <v>109355638.866955</v>
      </c>
      <c r="BK181" s="12">
        <v>130995566.30391</v>
      </c>
      <c r="BL181" s="12">
        <v>125160115.547819</v>
      </c>
      <c r="BM181" s="12">
        <v>124685688.16109399</v>
      </c>
      <c r="BN181" s="12">
        <v>145536615.89304599</v>
      </c>
      <c r="BO181" s="12">
        <v>151647846.12895301</v>
      </c>
    </row>
    <row r="182" spans="1:67" x14ac:dyDescent="0.2">
      <c r="A182" s="12" t="s">
        <v>105</v>
      </c>
      <c r="B182" s="12" t="s">
        <v>104</v>
      </c>
      <c r="C182" s="12" t="s">
        <v>978</v>
      </c>
      <c r="D182" s="12" t="s">
        <v>979</v>
      </c>
      <c r="E182" s="12">
        <v>5485854791.9709597</v>
      </c>
      <c r="F182" s="12">
        <v>5670064168.2177296</v>
      </c>
      <c r="G182" s="12">
        <v>6077496267.7629404</v>
      </c>
      <c r="H182" s="12">
        <v>6638937283.1396303</v>
      </c>
      <c r="I182" s="12">
        <v>7274144350.8180904</v>
      </c>
      <c r="J182" s="12">
        <v>5654463586.0036602</v>
      </c>
      <c r="K182" s="12">
        <v>5863733230.97616</v>
      </c>
      <c r="L182" s="12">
        <v>5961418093.5300303</v>
      </c>
      <c r="M182" s="12">
        <v>5180597620.6413498</v>
      </c>
      <c r="N182" s="12">
        <v>5761588761.6942101</v>
      </c>
      <c r="P182" s="12">
        <v>7911136757.0686703</v>
      </c>
      <c r="Q182" s="12">
        <v>9567331064.6572704</v>
      </c>
      <c r="R182" s="12">
        <v>12802281897.871201</v>
      </c>
      <c r="S182" s="12">
        <v>13940981798.124701</v>
      </c>
      <c r="T182" s="12">
        <v>12861983284.391199</v>
      </c>
      <c r="U182" s="12">
        <v>13604832424.006201</v>
      </c>
      <c r="V182" s="12">
        <v>15446825318.455601</v>
      </c>
      <c r="W182" s="12">
        <v>18530518394.6488</v>
      </c>
      <c r="X182" s="12">
        <v>20731243113.292599</v>
      </c>
      <c r="Y182" s="12">
        <v>23244547384.674801</v>
      </c>
      <c r="Z182" s="12">
        <v>24417617184.247799</v>
      </c>
      <c r="AA182" s="12">
        <v>24164603058.9949</v>
      </c>
      <c r="AB182" s="12">
        <v>24309279705.573101</v>
      </c>
      <c r="AC182" s="12">
        <v>21665975318.884201</v>
      </c>
      <c r="AD182" s="12">
        <v>24679795396.419399</v>
      </c>
      <c r="AE182" s="12">
        <v>30604668356.5695</v>
      </c>
      <c r="AF182" s="12">
        <v>40376354069.947403</v>
      </c>
      <c r="AG182" s="12">
        <v>45176811594.202904</v>
      </c>
      <c r="AH182" s="12">
        <v>43920222524.708504</v>
      </c>
      <c r="AI182" s="12">
        <v>45495129385.047501</v>
      </c>
      <c r="AJ182" s="12">
        <v>42745329732.163002</v>
      </c>
      <c r="AK182" s="12">
        <v>41649829859.634201</v>
      </c>
      <c r="AL182" s="12">
        <v>46775620817.432701</v>
      </c>
      <c r="AM182" s="12">
        <v>55314732279.137901</v>
      </c>
      <c r="AN182" s="12">
        <v>63918703506.907501</v>
      </c>
      <c r="AO182" s="12">
        <v>70140835299.014801</v>
      </c>
      <c r="AP182" s="12">
        <v>66075143415.495201</v>
      </c>
      <c r="AQ182" s="12">
        <v>56227169851.0448</v>
      </c>
      <c r="AR182" s="12">
        <v>58762260625.875801</v>
      </c>
      <c r="AS182" s="12">
        <v>52623281956.703102</v>
      </c>
      <c r="AT182" s="12">
        <v>53872425916.624802</v>
      </c>
      <c r="AU182" s="12">
        <v>66627729311.449501</v>
      </c>
      <c r="AV182" s="12">
        <v>88250885550.262604</v>
      </c>
      <c r="AW182" s="12">
        <v>103905210084.034</v>
      </c>
      <c r="AX182" s="12">
        <v>114720129550.095</v>
      </c>
      <c r="AY182" s="12">
        <v>111538810712.66499</v>
      </c>
      <c r="AZ182" s="12">
        <v>137188946865.584</v>
      </c>
      <c r="BA182" s="12">
        <v>133131369930.414</v>
      </c>
      <c r="BB182" s="12">
        <v>121373602348.679</v>
      </c>
      <c r="BC182" s="12">
        <v>146517541181.254</v>
      </c>
      <c r="BD182" s="12">
        <v>168291357111.73901</v>
      </c>
      <c r="BE182" s="12">
        <v>176206659722.52399</v>
      </c>
      <c r="BF182" s="12">
        <v>190906575136.00299</v>
      </c>
      <c r="BG182" s="12">
        <v>201313497220.91699</v>
      </c>
      <c r="BH182" s="12">
        <v>178064471137.92099</v>
      </c>
      <c r="BI182" s="12">
        <v>188838342527.97501</v>
      </c>
      <c r="BJ182" s="12">
        <v>206556258844.56699</v>
      </c>
      <c r="BK182" s="12">
        <v>211886686924.483</v>
      </c>
      <c r="BL182" s="12">
        <v>213091987153.09201</v>
      </c>
      <c r="BM182" s="12">
        <v>212569779569.51901</v>
      </c>
      <c r="BN182" s="12">
        <v>255551704625.83099</v>
      </c>
      <c r="BO182" s="12">
        <v>248101705541.39899</v>
      </c>
    </row>
    <row r="183" spans="1:67" x14ac:dyDescent="0.2">
      <c r="A183" s="12" t="s">
        <v>1061</v>
      </c>
      <c r="B183" s="12" t="s">
        <v>1062</v>
      </c>
      <c r="C183" s="12" t="s">
        <v>978</v>
      </c>
      <c r="D183" s="12" t="s">
        <v>979</v>
      </c>
      <c r="E183" s="12">
        <v>1073493800833.99</v>
      </c>
      <c r="F183" s="12">
        <v>1136693306880</v>
      </c>
      <c r="G183" s="12">
        <v>1226937167068.74</v>
      </c>
      <c r="H183" s="12">
        <v>1322131904575.6599</v>
      </c>
      <c r="I183" s="12">
        <v>1445096831239.7</v>
      </c>
      <c r="J183" s="12">
        <v>1568558028052.79</v>
      </c>
      <c r="K183" s="12">
        <v>1721564335988.78</v>
      </c>
      <c r="L183" s="12">
        <v>1848030179343.3301</v>
      </c>
      <c r="M183" s="12">
        <v>2004624217662.54</v>
      </c>
      <c r="N183" s="12">
        <v>2205073735188.1099</v>
      </c>
      <c r="O183" s="12">
        <v>2409793706644.8901</v>
      </c>
      <c r="P183" s="12">
        <v>2667865777737.1299</v>
      </c>
      <c r="Q183" s="12">
        <v>3095864028573.8301</v>
      </c>
      <c r="R183" s="12">
        <v>3741416810231.7798</v>
      </c>
      <c r="S183" s="12">
        <v>4191601450741.8799</v>
      </c>
      <c r="T183" s="12">
        <v>4699459950496.2998</v>
      </c>
      <c r="U183" s="12">
        <v>5095692090249.6201</v>
      </c>
      <c r="V183" s="12">
        <v>5750216340189.4297</v>
      </c>
      <c r="W183" s="12">
        <v>6912222472362.1396</v>
      </c>
      <c r="X183" s="12">
        <v>7980895442563.75</v>
      </c>
      <c r="Y183" s="12">
        <v>8868572542392.9492</v>
      </c>
      <c r="Z183" s="12">
        <v>9029538087040.6191</v>
      </c>
      <c r="AA183" s="12">
        <v>8886875949965.0996</v>
      </c>
      <c r="AB183" s="12">
        <v>9186686537153.5703</v>
      </c>
      <c r="AC183" s="12">
        <v>9606069677783.5195</v>
      </c>
      <c r="AD183" s="12">
        <v>10116678922653.301</v>
      </c>
      <c r="AE183" s="12">
        <v>12260286310250.199</v>
      </c>
      <c r="AF183" s="12">
        <v>14198967736254</v>
      </c>
      <c r="AG183" s="12">
        <v>16004524434765.4</v>
      </c>
      <c r="AH183" s="12">
        <v>16746595179367.4</v>
      </c>
      <c r="AI183" s="12">
        <v>18856485088343.398</v>
      </c>
      <c r="AJ183" s="12">
        <v>19966715737476.199</v>
      </c>
      <c r="AK183" s="12">
        <v>21476873748809.301</v>
      </c>
      <c r="AL183" s="12">
        <v>21809003524767.398</v>
      </c>
      <c r="AM183" s="12">
        <v>23305560982010</v>
      </c>
      <c r="AN183" s="12">
        <v>25681295886679.898</v>
      </c>
      <c r="AO183" s="12">
        <v>25899388210744.5</v>
      </c>
      <c r="AP183" s="12">
        <v>25507727602748.301</v>
      </c>
      <c r="AQ183" s="12">
        <v>25774931850050.801</v>
      </c>
      <c r="AR183" s="12">
        <v>27071122123056.398</v>
      </c>
      <c r="AS183" s="12">
        <v>27669612109064.801</v>
      </c>
      <c r="AT183" s="12">
        <v>27415355083325.602</v>
      </c>
      <c r="AU183" s="12">
        <v>28601703298663.301</v>
      </c>
      <c r="AV183" s="12">
        <v>31985348235245.398</v>
      </c>
      <c r="AW183" s="12">
        <v>35608843977402.203</v>
      </c>
      <c r="AX183" s="12">
        <v>37648161960570.797</v>
      </c>
      <c r="AY183" s="12">
        <v>39718287206540.398</v>
      </c>
      <c r="AZ183" s="12">
        <v>43483774607883.297</v>
      </c>
      <c r="BA183" s="12">
        <v>46172647165986.5</v>
      </c>
      <c r="BB183" s="12">
        <v>43184012193503.797</v>
      </c>
      <c r="BC183" s="12">
        <v>45297220132987.102</v>
      </c>
      <c r="BD183" s="12">
        <v>48721217592038.203</v>
      </c>
      <c r="BE183" s="12">
        <v>48676832992568.102</v>
      </c>
      <c r="BF183" s="12">
        <v>49322705153139.398</v>
      </c>
      <c r="BG183" s="12">
        <v>50329424990157</v>
      </c>
      <c r="BH183" s="12">
        <v>47447635272040.203</v>
      </c>
      <c r="BI183" s="12">
        <v>48350692190870</v>
      </c>
      <c r="BJ183" s="12">
        <v>50475936774223.102</v>
      </c>
      <c r="BK183" s="12">
        <v>53402556614341.297</v>
      </c>
      <c r="BL183" s="12">
        <v>53912943272768</v>
      </c>
      <c r="BM183" s="12">
        <v>52590370145873.602</v>
      </c>
      <c r="BN183" s="12">
        <v>58623788402038.102</v>
      </c>
      <c r="BO183" s="12">
        <v>59849878381707.5</v>
      </c>
    </row>
    <row r="184" spans="1:67" x14ac:dyDescent="0.2">
      <c r="A184" s="12" t="s">
        <v>217</v>
      </c>
      <c r="B184" s="12" t="s">
        <v>216</v>
      </c>
      <c r="C184" s="12" t="s">
        <v>978</v>
      </c>
      <c r="D184" s="12" t="s">
        <v>979</v>
      </c>
      <c r="J184" s="12">
        <v>63279974.688010097</v>
      </c>
      <c r="K184" s="12">
        <v>67759972.896010801</v>
      </c>
      <c r="L184" s="12">
        <v>107151832.48965099</v>
      </c>
      <c r="M184" s="12">
        <v>188879848.896121</v>
      </c>
      <c r="N184" s="12">
        <v>239999808.00015399</v>
      </c>
      <c r="O184" s="12">
        <v>256319794.94416401</v>
      </c>
      <c r="P184" s="12">
        <v>301010587.10298401</v>
      </c>
      <c r="Q184" s="12">
        <v>366883548.34759098</v>
      </c>
      <c r="R184" s="12">
        <v>483066990.61241698</v>
      </c>
      <c r="S184" s="12">
        <v>1645917776.49102</v>
      </c>
      <c r="T184" s="12">
        <v>2096699189.34569</v>
      </c>
      <c r="U184" s="12">
        <v>2560220034.7423301</v>
      </c>
      <c r="V184" s="12">
        <v>2741169947.8865099</v>
      </c>
      <c r="W184" s="12">
        <v>2740301389.69311</v>
      </c>
      <c r="X184" s="12">
        <v>3733352634.6265202</v>
      </c>
      <c r="Y184" s="12">
        <v>5981760277.9386196</v>
      </c>
      <c r="Z184" s="12">
        <v>7259120150.5500898</v>
      </c>
      <c r="AA184" s="12">
        <v>7554719455.7035303</v>
      </c>
      <c r="AB184" s="12">
        <v>7932541690.7932796</v>
      </c>
      <c r="AC184" s="12">
        <v>8821443150.9248791</v>
      </c>
      <c r="AD184" s="12">
        <v>10005645420.4606</v>
      </c>
      <c r="AE184" s="12">
        <v>7324167369.1430502</v>
      </c>
      <c r="AF184" s="12">
        <v>7811183094.9284801</v>
      </c>
      <c r="AG184" s="12">
        <v>8386215864.7594299</v>
      </c>
      <c r="AH184" s="12">
        <v>9372171651.4954491</v>
      </c>
      <c r="AI184" s="12">
        <v>11685045513.6541</v>
      </c>
      <c r="AJ184" s="12">
        <v>11341482444.7334</v>
      </c>
      <c r="AK184" s="12">
        <v>12452275682.7048</v>
      </c>
      <c r="AL184" s="12">
        <v>12493107932.3797</v>
      </c>
      <c r="AM184" s="12">
        <v>12918855656.697001</v>
      </c>
      <c r="AN184" s="12">
        <v>13802600780.2341</v>
      </c>
      <c r="AO184" s="12">
        <v>15277763328.998699</v>
      </c>
      <c r="AP184" s="12">
        <v>15837451235.3706</v>
      </c>
      <c r="AQ184" s="12">
        <v>13996914694.4083</v>
      </c>
      <c r="AR184" s="12">
        <v>15593456176.8531</v>
      </c>
      <c r="AS184" s="12">
        <v>19507452535.7607</v>
      </c>
      <c r="AT184" s="12">
        <v>19452000520.155998</v>
      </c>
      <c r="AU184" s="12">
        <v>20142756046.813999</v>
      </c>
      <c r="AV184" s="12">
        <v>21633708192.457699</v>
      </c>
      <c r="AW184" s="12">
        <v>24763712873.862202</v>
      </c>
      <c r="AX184" s="12">
        <v>31081991677.5033</v>
      </c>
      <c r="AY184" s="12">
        <v>37215779713.9142</v>
      </c>
      <c r="AZ184" s="12">
        <v>42085379453.836197</v>
      </c>
      <c r="BA184" s="12">
        <v>60905452535.760696</v>
      </c>
      <c r="BB184" s="12">
        <v>48388363589.076698</v>
      </c>
      <c r="BC184" s="12">
        <v>64993498049.414803</v>
      </c>
      <c r="BD184" s="12">
        <v>77497529258.777603</v>
      </c>
      <c r="BE184" s="12">
        <v>87408842652.795807</v>
      </c>
      <c r="BF184" s="12">
        <v>89936020806.241898</v>
      </c>
      <c r="BG184" s="12">
        <v>92699089726.918106</v>
      </c>
      <c r="BH184" s="12">
        <v>78710793237.971405</v>
      </c>
      <c r="BI184" s="12">
        <v>75128738621.586502</v>
      </c>
      <c r="BJ184" s="12">
        <v>80856697009.102707</v>
      </c>
      <c r="BK184" s="12">
        <v>91505851755.526703</v>
      </c>
      <c r="BL184" s="12">
        <v>88060858257.477203</v>
      </c>
      <c r="BM184" s="12">
        <v>75909397659.297806</v>
      </c>
      <c r="BN184" s="12">
        <v>88191977373.212006</v>
      </c>
      <c r="BO184" s="12">
        <v>114667360208.062</v>
      </c>
    </row>
    <row r="185" spans="1:67" x14ac:dyDescent="0.2">
      <c r="A185" s="12" t="s">
        <v>1063</v>
      </c>
      <c r="B185" s="12" t="s">
        <v>1064</v>
      </c>
      <c r="C185" s="12" t="s">
        <v>978</v>
      </c>
      <c r="D185" s="12" t="s">
        <v>979</v>
      </c>
      <c r="O185" s="12">
        <v>3136923992.1111698</v>
      </c>
      <c r="P185" s="12">
        <v>3723946505.8874698</v>
      </c>
      <c r="Q185" s="12">
        <v>4507178166.3976698</v>
      </c>
      <c r="R185" s="12">
        <v>6530337346.7963495</v>
      </c>
      <c r="S185" s="12">
        <v>12039013476.7078</v>
      </c>
      <c r="T185" s="12">
        <v>13438720822.943001</v>
      </c>
      <c r="U185" s="12">
        <v>16706366683.040001</v>
      </c>
      <c r="V185" s="12">
        <v>18812638115.804798</v>
      </c>
      <c r="W185" s="12">
        <v>20755032855.938801</v>
      </c>
      <c r="X185" s="12">
        <v>26950704568.985901</v>
      </c>
      <c r="Y185" s="12">
        <v>37435558675.6492</v>
      </c>
      <c r="Z185" s="12">
        <v>37633103245.388298</v>
      </c>
      <c r="AA185" s="12">
        <v>35596919862.979301</v>
      </c>
      <c r="AB185" s="12">
        <v>33627899193.408298</v>
      </c>
      <c r="AC185" s="12">
        <v>33870717972.3895</v>
      </c>
      <c r="AD185" s="12">
        <v>32189612516.595798</v>
      </c>
      <c r="AE185" s="12">
        <v>32598782101.178299</v>
      </c>
      <c r="AF185" s="12">
        <v>38689782101.931602</v>
      </c>
      <c r="AG185" s="12">
        <v>43468212976.867104</v>
      </c>
      <c r="AH185" s="12">
        <v>45515134895.2239</v>
      </c>
      <c r="AI185" s="12">
        <v>54472367102.544502</v>
      </c>
      <c r="AJ185" s="12">
        <v>56090973116.899101</v>
      </c>
      <c r="AK185" s="12">
        <v>61187678062.438004</v>
      </c>
      <c r="AL185" s="12">
        <v>58272700910.4132</v>
      </c>
      <c r="AM185" s="12">
        <v>60955347498.716202</v>
      </c>
      <c r="AN185" s="12">
        <v>69997987337.814407</v>
      </c>
      <c r="AO185" s="12">
        <v>73782152795.530106</v>
      </c>
      <c r="AP185" s="12">
        <v>76825374562.427597</v>
      </c>
      <c r="AQ185" s="12">
        <v>75277199806.352295</v>
      </c>
      <c r="AR185" s="12">
        <v>81023028368.538605</v>
      </c>
      <c r="AS185" s="12">
        <v>91448741120.764404</v>
      </c>
      <c r="AT185" s="12">
        <v>90982919680.092407</v>
      </c>
      <c r="AU185" s="12">
        <v>98158426362.915802</v>
      </c>
      <c r="AV185" s="12">
        <v>122189958973.3</v>
      </c>
      <c r="AW185" s="12">
        <v>151627543898.66</v>
      </c>
      <c r="AX185" s="12">
        <v>183686012223.54999</v>
      </c>
      <c r="AY185" s="12">
        <v>215631590221.716</v>
      </c>
      <c r="AZ185" s="12">
        <v>263863491372.664</v>
      </c>
      <c r="BA185" s="12">
        <v>322995663616.479</v>
      </c>
      <c r="BB185" s="12">
        <v>277207828476.99103</v>
      </c>
      <c r="BC185" s="12">
        <v>322487066056.58398</v>
      </c>
      <c r="BD185" s="12">
        <v>396892626077.25598</v>
      </c>
      <c r="BE185" s="12">
        <v>413908571026.45203</v>
      </c>
      <c r="BF185" s="12">
        <v>431963057170.37299</v>
      </c>
      <c r="BG185" s="12">
        <v>446497829205.86798</v>
      </c>
      <c r="BH185" s="12">
        <v>370348122609.664</v>
      </c>
      <c r="BI185" s="12">
        <v>366414818900.20898</v>
      </c>
      <c r="BJ185" s="12">
        <v>399197184232.78601</v>
      </c>
      <c r="BK185" s="12">
        <v>443324754299.41803</v>
      </c>
      <c r="BL185" s="12">
        <v>434461797325.026</v>
      </c>
      <c r="BM185" s="12">
        <v>378440036056.01099</v>
      </c>
      <c r="BN185" s="12">
        <v>457103617285.35999</v>
      </c>
      <c r="BO185" s="12">
        <v>530807158164.414</v>
      </c>
    </row>
    <row r="186" spans="1:67" x14ac:dyDescent="0.2">
      <c r="A186" s="12" t="s">
        <v>77</v>
      </c>
      <c r="B186" s="12" t="s">
        <v>76</v>
      </c>
      <c r="C186" s="12" t="s">
        <v>978</v>
      </c>
      <c r="D186" s="12" t="s">
        <v>979</v>
      </c>
      <c r="E186" s="12">
        <v>3749265014.6997099</v>
      </c>
      <c r="F186" s="12">
        <v>4118647627.0474601</v>
      </c>
      <c r="G186" s="12">
        <v>4310163796.7240696</v>
      </c>
      <c r="H186" s="12">
        <v>4630827383.4523296</v>
      </c>
      <c r="I186" s="12">
        <v>5204955900.8819799</v>
      </c>
      <c r="J186" s="12">
        <v>5929231415.3716898</v>
      </c>
      <c r="K186" s="12">
        <v>6561108777.82444</v>
      </c>
      <c r="L186" s="12">
        <v>7464510709.7858</v>
      </c>
      <c r="M186" s="12">
        <v>8041999160.0167999</v>
      </c>
      <c r="N186" s="12">
        <v>8683116337.6732502</v>
      </c>
      <c r="O186" s="12">
        <v>10027509449.811001</v>
      </c>
      <c r="P186" s="12">
        <v>10665896682.066401</v>
      </c>
      <c r="Q186" s="12">
        <v>9415016359.56604</v>
      </c>
      <c r="R186" s="12">
        <v>6383429490.2109098</v>
      </c>
      <c r="S186" s="12">
        <v>8899191919.1919193</v>
      </c>
      <c r="T186" s="12">
        <v>11230606060.6061</v>
      </c>
      <c r="U186" s="12">
        <v>13168080808.080799</v>
      </c>
      <c r="V186" s="12">
        <v>15126060606.0606</v>
      </c>
      <c r="W186" s="12">
        <v>17811515151.515202</v>
      </c>
      <c r="X186" s="12">
        <v>19688383838.383801</v>
      </c>
      <c r="Y186" s="12">
        <v>23654444444.444401</v>
      </c>
      <c r="Z186" s="12">
        <v>28100606060.606098</v>
      </c>
      <c r="AA186" s="12">
        <v>30725971563.980999</v>
      </c>
      <c r="AB186" s="12">
        <v>28691889763.779499</v>
      </c>
      <c r="AC186" s="12">
        <v>31151825467.497799</v>
      </c>
      <c r="AD186" s="12">
        <v>31144920844.327202</v>
      </c>
      <c r="AE186" s="12">
        <v>31899070055.7967</v>
      </c>
      <c r="AF186" s="12">
        <v>33351529274.686901</v>
      </c>
      <c r="AG186" s="12">
        <v>38472742808.316704</v>
      </c>
      <c r="AH186" s="12">
        <v>40171106279.007797</v>
      </c>
      <c r="AI186" s="12">
        <v>40010423970.457603</v>
      </c>
      <c r="AJ186" s="12">
        <v>45625336680.204697</v>
      </c>
      <c r="AK186" s="12">
        <v>48884671947.465698</v>
      </c>
      <c r="AL186" s="12">
        <v>51809999353.1614</v>
      </c>
      <c r="AM186" s="12">
        <v>52293470813.133598</v>
      </c>
      <c r="AN186" s="12">
        <v>60636071684.191803</v>
      </c>
      <c r="AO186" s="12">
        <v>63320170084.4076</v>
      </c>
      <c r="AP186" s="12">
        <v>62433340468.022797</v>
      </c>
      <c r="AQ186" s="12">
        <v>62191955814.347801</v>
      </c>
      <c r="AR186" s="12">
        <v>62973857068.511299</v>
      </c>
      <c r="AS186" s="12">
        <v>99484802344.527695</v>
      </c>
      <c r="AT186" s="12">
        <v>97145618479.903793</v>
      </c>
      <c r="AU186" s="12">
        <v>97923302809.353699</v>
      </c>
      <c r="AV186" s="12">
        <v>112371913740.823</v>
      </c>
      <c r="AW186" s="12">
        <v>132216048339.41299</v>
      </c>
      <c r="AX186" s="12">
        <v>145208562960.767</v>
      </c>
      <c r="AY186" s="12">
        <v>161871385506.35999</v>
      </c>
      <c r="AZ186" s="12">
        <v>184140869997.45999</v>
      </c>
      <c r="BA186" s="12">
        <v>202203748583.854</v>
      </c>
      <c r="BB186" s="12">
        <v>187337783856.466</v>
      </c>
      <c r="BC186" s="12">
        <v>196709621849.586</v>
      </c>
      <c r="BD186" s="12">
        <v>230586581059.66501</v>
      </c>
      <c r="BE186" s="12">
        <v>250106966104.70401</v>
      </c>
      <c r="BF186" s="12">
        <v>258657231672.41199</v>
      </c>
      <c r="BG186" s="12">
        <v>271390474857.63199</v>
      </c>
      <c r="BH186" s="12">
        <v>299963590534.77301</v>
      </c>
      <c r="BI186" s="12">
        <v>313630000130.435</v>
      </c>
      <c r="BJ186" s="12">
        <v>339205534861.09998</v>
      </c>
      <c r="BK186" s="12">
        <v>356128166704.92102</v>
      </c>
      <c r="BL186" s="12">
        <v>320909472770.66901</v>
      </c>
      <c r="BM186" s="12">
        <v>300425609817.98102</v>
      </c>
      <c r="BN186" s="12">
        <v>348516647445.14801</v>
      </c>
      <c r="BO186" s="12">
        <v>374697366359.24402</v>
      </c>
    </row>
    <row r="187" spans="1:67" x14ac:dyDescent="0.2">
      <c r="A187" s="12" t="s">
        <v>229</v>
      </c>
      <c r="B187" s="12" t="s">
        <v>228</v>
      </c>
      <c r="C187" s="12" t="s">
        <v>978</v>
      </c>
      <c r="D187" s="12" t="s">
        <v>979</v>
      </c>
      <c r="E187" s="12">
        <v>537147100</v>
      </c>
      <c r="F187" s="12">
        <v>599026300</v>
      </c>
      <c r="G187" s="12">
        <v>652120900</v>
      </c>
      <c r="H187" s="12">
        <v>722784500</v>
      </c>
      <c r="I187" s="12">
        <v>776137500</v>
      </c>
      <c r="J187" s="12">
        <v>852485300</v>
      </c>
      <c r="K187" s="12">
        <v>928833000</v>
      </c>
      <c r="L187" s="12">
        <v>1034376400</v>
      </c>
      <c r="M187" s="12">
        <v>1112791100</v>
      </c>
      <c r="N187" s="12">
        <v>1221305700</v>
      </c>
      <c r="O187" s="12">
        <v>1351006400</v>
      </c>
      <c r="P187" s="12">
        <v>1523917200</v>
      </c>
      <c r="Q187" s="12">
        <v>1673411700</v>
      </c>
      <c r="R187" s="12">
        <v>1913793400</v>
      </c>
      <c r="S187" s="12">
        <v>2188307600</v>
      </c>
      <c r="T187" s="12">
        <v>2435304100</v>
      </c>
      <c r="U187" s="12">
        <v>2588106000</v>
      </c>
      <c r="V187" s="12">
        <v>2738261900</v>
      </c>
      <c r="W187" s="12">
        <v>3244558600</v>
      </c>
      <c r="X187" s="12">
        <v>3704551600</v>
      </c>
      <c r="Y187" s="12">
        <v>4614086400</v>
      </c>
      <c r="Z187" s="12">
        <v>5222421500</v>
      </c>
      <c r="AA187" s="12">
        <v>5769767900</v>
      </c>
      <c r="AB187" s="12">
        <v>5923755900</v>
      </c>
      <c r="AC187" s="12">
        <v>6183387100</v>
      </c>
      <c r="AD187" s="12">
        <v>6541517100</v>
      </c>
      <c r="AE187" s="12">
        <v>6797834200</v>
      </c>
      <c r="AF187" s="12">
        <v>6827665300</v>
      </c>
      <c r="AG187" s="12">
        <v>5902783400</v>
      </c>
      <c r="AH187" s="12">
        <v>5918469800</v>
      </c>
      <c r="AI187" s="12">
        <v>6433967000</v>
      </c>
      <c r="AJ187" s="12">
        <v>7074675500</v>
      </c>
      <c r="AK187" s="12">
        <v>8042337700</v>
      </c>
      <c r="AL187" s="12">
        <v>8782585400</v>
      </c>
      <c r="AM187" s="12">
        <v>9365289800</v>
      </c>
      <c r="AN187" s="12">
        <v>9573813700</v>
      </c>
      <c r="AO187" s="12">
        <v>9870494000</v>
      </c>
      <c r="AP187" s="12">
        <v>10677286100</v>
      </c>
      <c r="AQ187" s="12">
        <v>11575486400</v>
      </c>
      <c r="AR187" s="12">
        <v>12130252200</v>
      </c>
      <c r="AS187" s="12">
        <v>12304115000</v>
      </c>
      <c r="AT187" s="12">
        <v>12502013400</v>
      </c>
      <c r="AU187" s="12">
        <v>12994310400</v>
      </c>
      <c r="AV187" s="12">
        <v>13693981200</v>
      </c>
      <c r="AW187" s="12">
        <v>15013381700</v>
      </c>
      <c r="AX187" s="12">
        <v>16374393900</v>
      </c>
      <c r="AY187" s="12">
        <v>18141666300</v>
      </c>
      <c r="AZ187" s="12">
        <v>21295984200</v>
      </c>
      <c r="BA187" s="12">
        <v>25155888600</v>
      </c>
      <c r="BB187" s="12">
        <v>27116635600</v>
      </c>
      <c r="BC187" s="12">
        <v>29440287600</v>
      </c>
      <c r="BD187" s="12">
        <v>34686224300</v>
      </c>
      <c r="BE187" s="12">
        <v>40429700000</v>
      </c>
      <c r="BF187" s="12">
        <v>45599900000</v>
      </c>
      <c r="BG187" s="12">
        <v>49921400000</v>
      </c>
      <c r="BH187" s="12">
        <v>54091800000</v>
      </c>
      <c r="BI187" s="12">
        <v>57907700000</v>
      </c>
      <c r="BJ187" s="12">
        <v>62202700000</v>
      </c>
      <c r="BK187" s="12">
        <v>67294169200</v>
      </c>
      <c r="BL187" s="12">
        <v>69721787500</v>
      </c>
      <c r="BM187" s="12">
        <v>57086836900</v>
      </c>
      <c r="BN187" s="12">
        <v>67406738100</v>
      </c>
      <c r="BO187" s="12">
        <v>76522511800</v>
      </c>
    </row>
    <row r="188" spans="1:67" x14ac:dyDescent="0.2">
      <c r="A188" s="12" t="s">
        <v>123</v>
      </c>
      <c r="B188" s="12" t="s">
        <v>122</v>
      </c>
      <c r="C188" s="12" t="s">
        <v>978</v>
      </c>
      <c r="D188" s="12" t="s">
        <v>979</v>
      </c>
      <c r="AA188" s="12">
        <v>15203143381</v>
      </c>
      <c r="AB188" s="12">
        <v>14124541992.5</v>
      </c>
      <c r="AC188" s="12">
        <v>20339340469.333302</v>
      </c>
      <c r="AD188" s="12">
        <v>15044388198.181801</v>
      </c>
      <c r="AE188" s="12">
        <v>21777475654.285702</v>
      </c>
      <c r="AF188" s="12">
        <v>36533467759.411797</v>
      </c>
      <c r="AG188" s="12">
        <v>15439408447.200001</v>
      </c>
      <c r="AH188" s="12">
        <v>22499558526.368198</v>
      </c>
      <c r="AI188" s="12">
        <v>26410386962.801899</v>
      </c>
      <c r="AJ188" s="12">
        <v>34341465998.200298</v>
      </c>
      <c r="AK188" s="12">
        <v>35966302303.263</v>
      </c>
      <c r="AL188" s="12">
        <v>34832077220.853699</v>
      </c>
      <c r="AM188" s="12">
        <v>44882079766.891296</v>
      </c>
      <c r="AN188" s="12">
        <v>53312793687.383598</v>
      </c>
      <c r="AO188" s="12">
        <v>55252414130.301903</v>
      </c>
      <c r="AP188" s="12">
        <v>58147522522.522499</v>
      </c>
      <c r="AQ188" s="12">
        <v>55501467877.380997</v>
      </c>
      <c r="AR188" s="12">
        <v>50187324567.883003</v>
      </c>
      <c r="AS188" s="12">
        <v>51744749133.212997</v>
      </c>
      <c r="AT188" s="12">
        <v>52030158775.405502</v>
      </c>
      <c r="AU188" s="12">
        <v>54777553515.080902</v>
      </c>
      <c r="AV188" s="12">
        <v>58731030121.867104</v>
      </c>
      <c r="AW188" s="12">
        <v>66768703497.568703</v>
      </c>
      <c r="AX188" s="12">
        <v>76060606060.606094</v>
      </c>
      <c r="AY188" s="12">
        <v>88643193061.748001</v>
      </c>
      <c r="AZ188" s="12">
        <v>102170981144.136</v>
      </c>
      <c r="BA188" s="12">
        <v>120550599815.44099</v>
      </c>
      <c r="BB188" s="12">
        <v>120822986521.479</v>
      </c>
      <c r="BC188" s="12">
        <v>147527631520.729</v>
      </c>
      <c r="BD188" s="12">
        <v>171761737046.58499</v>
      </c>
      <c r="BE188" s="12">
        <v>192650021648.58301</v>
      </c>
      <c r="BF188" s="12">
        <v>201175543571.392</v>
      </c>
      <c r="BG188" s="12">
        <v>200786250582.94299</v>
      </c>
      <c r="BH188" s="12">
        <v>189802976285.61899</v>
      </c>
      <c r="BI188" s="12">
        <v>191898104390.379</v>
      </c>
      <c r="BJ188" s="12">
        <v>211007984080.91101</v>
      </c>
      <c r="BK188" s="12">
        <v>222597009739.23499</v>
      </c>
      <c r="BL188" s="12">
        <v>228325821196.15302</v>
      </c>
      <c r="BM188" s="12">
        <v>201947615138.56699</v>
      </c>
      <c r="BN188" s="12">
        <v>223717799056.526</v>
      </c>
      <c r="BO188" s="12">
        <v>242631573320.79001</v>
      </c>
    </row>
    <row r="189" spans="1:67" x14ac:dyDescent="0.2">
      <c r="A189" s="12" t="s">
        <v>69</v>
      </c>
      <c r="B189" s="12" t="s">
        <v>68</v>
      </c>
      <c r="C189" s="12" t="s">
        <v>978</v>
      </c>
      <c r="D189" s="12" t="s">
        <v>979</v>
      </c>
      <c r="E189" s="12">
        <v>7515894110.5648699</v>
      </c>
      <c r="F189" s="12">
        <v>8171194424.9449797</v>
      </c>
      <c r="G189" s="12">
        <v>4954593071.82796</v>
      </c>
      <c r="H189" s="12">
        <v>5505023238.4066896</v>
      </c>
      <c r="I189" s="12">
        <v>5953756194.8098803</v>
      </c>
      <c r="J189" s="12">
        <v>6517349771.9338598</v>
      </c>
      <c r="K189" s="12">
        <v>7189017887.6923103</v>
      </c>
      <c r="L189" s="12">
        <v>7724873935.1282101</v>
      </c>
      <c r="M189" s="12">
        <v>8632749269.4871807</v>
      </c>
      <c r="N189" s="12">
        <v>9571800652.5641003</v>
      </c>
      <c r="O189" s="12">
        <v>7559115516.6953201</v>
      </c>
      <c r="P189" s="12">
        <v>8375075629.8326998</v>
      </c>
      <c r="Q189" s="12">
        <v>9067815521.3262005</v>
      </c>
      <c r="R189" s="12">
        <v>11412449735.305599</v>
      </c>
      <c r="S189" s="12">
        <v>15607882555.291599</v>
      </c>
      <c r="T189" s="12">
        <v>16875240683.508301</v>
      </c>
      <c r="U189" s="12">
        <v>19381055197.2794</v>
      </c>
      <c r="V189" s="12">
        <v>22283109803.3521</v>
      </c>
      <c r="W189" s="12">
        <v>25762224562.631599</v>
      </c>
      <c r="X189" s="12">
        <v>31218296292.129501</v>
      </c>
      <c r="Y189" s="12">
        <v>36848080898.811203</v>
      </c>
      <c r="Z189" s="12">
        <v>40499388869.127098</v>
      </c>
      <c r="AA189" s="12">
        <v>42206011275.175697</v>
      </c>
      <c r="AB189" s="12">
        <v>37759179894.5298</v>
      </c>
      <c r="AC189" s="12">
        <v>35730185633.5233</v>
      </c>
      <c r="AD189" s="12">
        <v>34961486348.238197</v>
      </c>
      <c r="AE189" s="12">
        <v>33987207294.943199</v>
      </c>
      <c r="AF189" s="12">
        <v>37791488666.074303</v>
      </c>
      <c r="AG189" s="12">
        <v>43152128958.611603</v>
      </c>
      <c r="AH189" s="12">
        <v>48513773720.672997</v>
      </c>
      <c r="AI189" s="12">
        <v>50508286641.5746</v>
      </c>
      <c r="AJ189" s="12">
        <v>51784144942.726997</v>
      </c>
      <c r="AK189" s="12">
        <v>60422328242.180298</v>
      </c>
      <c r="AL189" s="12">
        <v>62036529147.183098</v>
      </c>
      <c r="AM189" s="12">
        <v>73159336915.271805</v>
      </c>
      <c r="AN189" s="12">
        <v>84644328727.482498</v>
      </c>
      <c r="AO189" s="12">
        <v>94648084429.034103</v>
      </c>
      <c r="AP189" s="12">
        <v>94106317565.084595</v>
      </c>
      <c r="AQ189" s="12">
        <v>74492416329.9142</v>
      </c>
      <c r="AR189" s="12">
        <v>85640171045.125397</v>
      </c>
      <c r="AS189" s="12">
        <v>83669788254.727905</v>
      </c>
      <c r="AT189" s="12">
        <v>78921234457.548706</v>
      </c>
      <c r="AU189" s="12">
        <v>84307345887.542999</v>
      </c>
      <c r="AV189" s="12">
        <v>87039092974.227203</v>
      </c>
      <c r="AW189" s="12">
        <v>95001999685.331406</v>
      </c>
      <c r="AX189" s="12">
        <v>107419977318.166</v>
      </c>
      <c r="AY189" s="12">
        <v>127652926368.069</v>
      </c>
      <c r="AZ189" s="12">
        <v>155980408673.40302</v>
      </c>
      <c r="BA189" s="12">
        <v>181624626327.36099</v>
      </c>
      <c r="BB189" s="12">
        <v>175974755881.37201</v>
      </c>
      <c r="BC189" s="12">
        <v>208368893151.14401</v>
      </c>
      <c r="BD189" s="12">
        <v>234216730295.93799</v>
      </c>
      <c r="BE189" s="12">
        <v>261920540972.10199</v>
      </c>
      <c r="BF189" s="12">
        <v>283902828581.65002</v>
      </c>
      <c r="BG189" s="12">
        <v>297483555344.802</v>
      </c>
      <c r="BH189" s="12">
        <v>306445871246.71802</v>
      </c>
      <c r="BI189" s="12">
        <v>318627003012.52002</v>
      </c>
      <c r="BJ189" s="12">
        <v>328480736798.79199</v>
      </c>
      <c r="BK189" s="12">
        <v>346841896583.51501</v>
      </c>
      <c r="BL189" s="12">
        <v>376823402244.92798</v>
      </c>
      <c r="BM189" s="12">
        <v>361751145451.59698</v>
      </c>
      <c r="BN189" s="12">
        <v>394087359844.04901</v>
      </c>
      <c r="BO189" s="12">
        <v>404284326110.46301</v>
      </c>
    </row>
    <row r="190" spans="1:67" x14ac:dyDescent="0.2">
      <c r="A190" s="12" t="s">
        <v>371</v>
      </c>
      <c r="B190" s="12" t="s">
        <v>370</v>
      </c>
      <c r="C190" s="12" t="s">
        <v>978</v>
      </c>
      <c r="D190" s="12" t="s">
        <v>979</v>
      </c>
      <c r="AS190" s="12">
        <v>146297500</v>
      </c>
      <c r="AT190" s="12">
        <v>156907900</v>
      </c>
      <c r="AU190" s="12">
        <v>163184900</v>
      </c>
      <c r="AV190" s="12">
        <v>153963200</v>
      </c>
      <c r="AW190" s="12">
        <v>165186200</v>
      </c>
      <c r="AX190" s="12">
        <v>190452900</v>
      </c>
      <c r="AY190" s="12">
        <v>192382400</v>
      </c>
      <c r="AZ190" s="12">
        <v>198897700</v>
      </c>
      <c r="BA190" s="12">
        <v>198283900</v>
      </c>
      <c r="BB190" s="12">
        <v>187522800</v>
      </c>
      <c r="BC190" s="12">
        <v>185943000</v>
      </c>
      <c r="BD190" s="12">
        <v>196911100</v>
      </c>
      <c r="BE190" s="12">
        <v>212397800</v>
      </c>
      <c r="BF190" s="12">
        <v>221117200</v>
      </c>
      <c r="BG190" s="12">
        <v>241669800</v>
      </c>
      <c r="BH190" s="12">
        <v>280457700</v>
      </c>
      <c r="BI190" s="12">
        <v>298300000</v>
      </c>
      <c r="BJ190" s="12">
        <v>285600000</v>
      </c>
      <c r="BK190" s="12">
        <v>288546281.25</v>
      </c>
      <c r="BL190" s="12">
        <v>281970375</v>
      </c>
      <c r="BM190" s="12">
        <v>257885921.875</v>
      </c>
      <c r="BN190" s="12">
        <v>232903015.625</v>
      </c>
    </row>
    <row r="191" spans="1:67" x14ac:dyDescent="0.2">
      <c r="A191" s="12" t="s">
        <v>303</v>
      </c>
      <c r="B191" s="12" t="s">
        <v>302</v>
      </c>
      <c r="C191" s="12" t="s">
        <v>978</v>
      </c>
      <c r="D191" s="12" t="s">
        <v>979</v>
      </c>
      <c r="E191" s="12">
        <v>230496036.87936601</v>
      </c>
      <c r="F191" s="12">
        <v>244832039.17312601</v>
      </c>
      <c r="G191" s="12">
        <v>261184041.78944701</v>
      </c>
      <c r="H191" s="12">
        <v>275968044.15488702</v>
      </c>
      <c r="I191" s="12">
        <v>305312048.84992802</v>
      </c>
      <c r="J191" s="12">
        <v>344176055.068169</v>
      </c>
      <c r="K191" s="12">
        <v>390992062.55873001</v>
      </c>
      <c r="L191" s="12">
        <v>441728182.67650902</v>
      </c>
      <c r="M191" s="12">
        <v>485184189.62946999</v>
      </c>
      <c r="N191" s="12">
        <v>551263864.20221806</v>
      </c>
      <c r="O191" s="12">
        <v>645568215.29091406</v>
      </c>
      <c r="P191" s="12">
        <v>717750278.10566401</v>
      </c>
      <c r="Q191" s="12">
        <v>858761926.08967996</v>
      </c>
      <c r="R191" s="12">
        <v>1299079410.4363799</v>
      </c>
      <c r="S191" s="12">
        <v>1467417672.1700201</v>
      </c>
      <c r="T191" s="12">
        <v>1356603608.0969501</v>
      </c>
      <c r="U191" s="12">
        <v>1511843235.4911101</v>
      </c>
      <c r="V191" s="12">
        <v>1640746618.68467</v>
      </c>
      <c r="W191" s="12">
        <v>1947878830.6238301</v>
      </c>
      <c r="X191" s="12">
        <v>2293760510.9608998</v>
      </c>
      <c r="Y191" s="12">
        <v>2545808455.5239902</v>
      </c>
      <c r="Z191" s="12">
        <v>2498190847.3966799</v>
      </c>
      <c r="AA191" s="12">
        <v>2368719683.4484801</v>
      </c>
      <c r="AB191" s="12">
        <v>2562351551.04491</v>
      </c>
      <c r="AC191" s="12">
        <v>2552662617.18854</v>
      </c>
      <c r="AD191" s="12">
        <v>2423339171.5001502</v>
      </c>
      <c r="AE191" s="12">
        <v>2647995602.2869802</v>
      </c>
      <c r="AF191" s="12">
        <v>3143851794.0872302</v>
      </c>
      <c r="AG191" s="12">
        <v>3656177880.7062502</v>
      </c>
      <c r="AH191" s="12">
        <v>3546472565.6936402</v>
      </c>
      <c r="AI191" s="12">
        <v>3219729083.0648699</v>
      </c>
      <c r="AJ191" s="12">
        <v>3787394957.9831901</v>
      </c>
      <c r="AK191" s="12">
        <v>4377980510.0559797</v>
      </c>
      <c r="AL191" s="12">
        <v>4974550286.1815205</v>
      </c>
      <c r="AM191" s="12">
        <v>5502786069.6517401</v>
      </c>
      <c r="AN191" s="12">
        <v>4636057476.4256802</v>
      </c>
      <c r="AO191" s="12">
        <v>5155311077.3899803</v>
      </c>
      <c r="AP191" s="12">
        <v>4936615298.7936697</v>
      </c>
      <c r="AQ191" s="12">
        <v>3789443014.6166201</v>
      </c>
      <c r="AR191" s="12">
        <v>3477038204.0173302</v>
      </c>
      <c r="AS191" s="12">
        <v>3521339699.07407</v>
      </c>
      <c r="AT191" s="12">
        <v>3081024212.4292402</v>
      </c>
      <c r="AU191" s="12">
        <v>2999511040.1976399</v>
      </c>
      <c r="AV191" s="12">
        <v>3536411824.2958002</v>
      </c>
      <c r="AW191" s="12">
        <v>3927157866.9646502</v>
      </c>
      <c r="AX191" s="12">
        <v>4865892972.2759504</v>
      </c>
      <c r="AY191" s="12">
        <v>8354911040.70193</v>
      </c>
      <c r="AZ191" s="12">
        <v>9545028944.3457909</v>
      </c>
      <c r="BA191" s="12">
        <v>11670892800.530899</v>
      </c>
      <c r="BB191" s="12">
        <v>11619456449.266001</v>
      </c>
      <c r="BC191" s="12">
        <v>14250786674.7766</v>
      </c>
      <c r="BD191" s="12">
        <v>17985138065.8549</v>
      </c>
      <c r="BE191" s="12">
        <v>21295168665.724701</v>
      </c>
      <c r="BF191" s="12">
        <v>21261338064.8783</v>
      </c>
      <c r="BG191" s="12">
        <v>23210823987.307999</v>
      </c>
      <c r="BH191" s="12">
        <v>21723437010.098202</v>
      </c>
      <c r="BI191" s="12">
        <v>20758876952.623199</v>
      </c>
      <c r="BJ191" s="12">
        <v>22742699138.355999</v>
      </c>
      <c r="BK191" s="12">
        <v>24109780708.026798</v>
      </c>
      <c r="BL191" s="12">
        <v>24751066910.540901</v>
      </c>
      <c r="BM191" s="12">
        <v>23848445103.922699</v>
      </c>
      <c r="BN191" s="12">
        <v>26113333244.511501</v>
      </c>
      <c r="BO191" s="12">
        <v>31603619041.790298</v>
      </c>
    </row>
    <row r="192" spans="1:67" x14ac:dyDescent="0.2">
      <c r="A192" s="12" t="s">
        <v>89</v>
      </c>
      <c r="B192" s="12" t="s">
        <v>88</v>
      </c>
      <c r="C192" s="12" t="s">
        <v>978</v>
      </c>
      <c r="D192" s="12" t="s">
        <v>979</v>
      </c>
      <c r="AI192" s="12">
        <v>65977748210.526299</v>
      </c>
      <c r="AJ192" s="12">
        <v>85500935934.990097</v>
      </c>
      <c r="AK192" s="12">
        <v>94337050693.272705</v>
      </c>
      <c r="AL192" s="12">
        <v>96043157272.862</v>
      </c>
      <c r="AM192" s="12">
        <v>110803635287.621</v>
      </c>
      <c r="AN192" s="12">
        <v>142293781028.56799</v>
      </c>
      <c r="AO192" s="12">
        <v>160193242090.427</v>
      </c>
      <c r="AP192" s="12">
        <v>159358178533.659</v>
      </c>
      <c r="AQ192" s="12">
        <v>174685791563.561</v>
      </c>
      <c r="AR192" s="12">
        <v>170030662134.73401</v>
      </c>
      <c r="AS192" s="12">
        <v>172220451786.957</v>
      </c>
      <c r="AT192" s="12">
        <v>190905493539.168</v>
      </c>
      <c r="AU192" s="12">
        <v>199070448694.89999</v>
      </c>
      <c r="AV192" s="12">
        <v>217828661056.935</v>
      </c>
      <c r="AW192" s="12">
        <v>255107252158.63101</v>
      </c>
      <c r="AX192" s="12">
        <v>306145944824.92999</v>
      </c>
      <c r="AY192" s="12">
        <v>344626667414.29199</v>
      </c>
      <c r="AZ192" s="12">
        <v>429020755432.72101</v>
      </c>
      <c r="BA192" s="12">
        <v>533599779515.71503</v>
      </c>
      <c r="BB192" s="12">
        <v>439731589139.21198</v>
      </c>
      <c r="BC192" s="12">
        <v>475696613935.59497</v>
      </c>
      <c r="BD192" s="12">
        <v>524374183218.30902</v>
      </c>
      <c r="BE192" s="12">
        <v>495230523665.901</v>
      </c>
      <c r="BF192" s="12">
        <v>515761954074.15698</v>
      </c>
      <c r="BG192" s="12">
        <v>539080475073.71899</v>
      </c>
      <c r="BH192" s="12">
        <v>477111287969.22699</v>
      </c>
      <c r="BI192" s="12">
        <v>470024559642.46899</v>
      </c>
      <c r="BJ192" s="12">
        <v>524641206566.63098</v>
      </c>
      <c r="BK192" s="12">
        <v>588779850758.05298</v>
      </c>
      <c r="BL192" s="12">
        <v>596058473058.76599</v>
      </c>
      <c r="BM192" s="12">
        <v>599442783598.06396</v>
      </c>
      <c r="BN192" s="12">
        <v>681346136411.70105</v>
      </c>
      <c r="BO192" s="12">
        <v>688125010520.52002</v>
      </c>
    </row>
    <row r="193" spans="1:67" x14ac:dyDescent="0.2">
      <c r="A193" s="12" t="s">
        <v>1065</v>
      </c>
      <c r="B193" s="12" t="s">
        <v>1066</v>
      </c>
      <c r="C193" s="12" t="s">
        <v>978</v>
      </c>
      <c r="D193" s="12" t="s">
        <v>979</v>
      </c>
      <c r="E193" s="12">
        <v>18445154513.762501</v>
      </c>
      <c r="F193" s="12">
        <v>19534782348.2519</v>
      </c>
      <c r="G193" s="12">
        <v>20835814948.781101</v>
      </c>
      <c r="H193" s="12">
        <v>22103620553.949501</v>
      </c>
      <c r="I193" s="12">
        <v>24153436876.838299</v>
      </c>
      <c r="J193" s="12">
        <v>26110927390.642101</v>
      </c>
      <c r="K193" s="12">
        <v>28562280602.741501</v>
      </c>
      <c r="L193" s="12">
        <v>28149360703.339298</v>
      </c>
      <c r="M193" s="12">
        <v>29250927399.5033</v>
      </c>
      <c r="N193" s="12">
        <v>32415341504.922699</v>
      </c>
      <c r="O193" s="12">
        <v>41287715460.8675</v>
      </c>
      <c r="P193" s="12">
        <v>39202923422.778702</v>
      </c>
      <c r="Q193" s="12">
        <v>46023172915.8647</v>
      </c>
      <c r="R193" s="12">
        <v>56505521927.071404</v>
      </c>
      <c r="S193" s="12">
        <v>81679729034.3629</v>
      </c>
      <c r="T193" s="12">
        <v>94236571882.026596</v>
      </c>
      <c r="U193" s="12">
        <v>113629258995.35699</v>
      </c>
      <c r="V193" s="12">
        <v>123499144443.73599</v>
      </c>
      <c r="W193" s="12">
        <v>137662656018.92599</v>
      </c>
      <c r="X193" s="12">
        <v>177787053538.89301</v>
      </c>
      <c r="Y193" s="12">
        <v>225229239089.88199</v>
      </c>
      <c r="Z193" s="12">
        <v>322475076238.61499</v>
      </c>
      <c r="AA193" s="12">
        <v>298853541430.69</v>
      </c>
      <c r="AB193" s="12">
        <v>239045041622.487</v>
      </c>
      <c r="AC193" s="12">
        <v>221453305768.332</v>
      </c>
      <c r="AD193" s="12">
        <v>220097330895.37601</v>
      </c>
      <c r="AE193" s="12">
        <v>213380553247.31</v>
      </c>
      <c r="AF193" s="12">
        <v>233192672375.14301</v>
      </c>
      <c r="AG193" s="12">
        <v>245711985916.978</v>
      </c>
      <c r="AH193" s="12">
        <v>248257720403.16101</v>
      </c>
      <c r="AI193" s="12">
        <v>406740579552.18597</v>
      </c>
      <c r="AJ193" s="12">
        <v>221571841180.39499</v>
      </c>
      <c r="AK193" s="12">
        <v>170281828484.285</v>
      </c>
      <c r="AL193" s="12">
        <v>177794542660.548</v>
      </c>
      <c r="AM193" s="12">
        <v>185222833305.09</v>
      </c>
      <c r="AN193" s="12">
        <v>275015149117.461</v>
      </c>
      <c r="AO193" s="12">
        <v>332586516939.92297</v>
      </c>
      <c r="AP193" s="12">
        <v>365660933525.90601</v>
      </c>
      <c r="AQ193" s="12">
        <v>390172075357.33698</v>
      </c>
      <c r="AR193" s="12">
        <v>240531311818.36801</v>
      </c>
      <c r="AS193" s="12">
        <v>278355797734.63501</v>
      </c>
      <c r="AT193" s="12">
        <v>265776401788.45099</v>
      </c>
      <c r="AU193" s="12">
        <v>305612587507.02399</v>
      </c>
      <c r="AV193" s="12">
        <v>332240634783.15198</v>
      </c>
      <c r="AW193" s="12">
        <v>414106425310.77197</v>
      </c>
      <c r="AX193" s="12">
        <v>516850339306.81897</v>
      </c>
      <c r="AY193" s="12">
        <v>652780713474.80103</v>
      </c>
      <c r="AZ193" s="12">
        <v>791178687736.82703</v>
      </c>
      <c r="BA193" s="12">
        <v>987230289880.82703</v>
      </c>
      <c r="BB193" s="12">
        <v>897339673161.45703</v>
      </c>
      <c r="BC193" s="12">
        <v>1049034487921.2</v>
      </c>
      <c r="BD193" s="12">
        <v>1215633555857.23</v>
      </c>
      <c r="BE193" s="12">
        <v>1320626998888.74</v>
      </c>
      <c r="BF193" s="12">
        <v>1448556658986.4299</v>
      </c>
      <c r="BG193" s="12">
        <v>1535455788159.8999</v>
      </c>
      <c r="BH193" s="12">
        <v>1305728893108.5</v>
      </c>
      <c r="BI193" s="12">
        <v>1162961704110.98</v>
      </c>
      <c r="BJ193" s="12">
        <v>1214494620245.9399</v>
      </c>
      <c r="BK193" s="12">
        <v>1353328613575.52</v>
      </c>
      <c r="BL193" s="12">
        <v>1426582966203.49</v>
      </c>
      <c r="BM193" s="12">
        <v>1309417999889.29</v>
      </c>
      <c r="BN193" s="12">
        <v>1432814193024.4299</v>
      </c>
      <c r="BO193" s="12">
        <v>1617245641605.5901</v>
      </c>
    </row>
    <row r="194" spans="1:67" x14ac:dyDescent="0.2">
      <c r="A194" s="12" t="s">
        <v>949</v>
      </c>
      <c r="B194" s="12" t="s">
        <v>1067</v>
      </c>
      <c r="C194" s="12" t="s">
        <v>978</v>
      </c>
      <c r="D194" s="12" t="s">
        <v>979</v>
      </c>
      <c r="E194" s="12">
        <v>1691900000</v>
      </c>
      <c r="F194" s="12">
        <v>1865100000</v>
      </c>
      <c r="G194" s="12">
        <v>2094400000</v>
      </c>
      <c r="H194" s="12">
        <v>2333600000</v>
      </c>
      <c r="I194" s="12">
        <v>2570500000</v>
      </c>
      <c r="J194" s="12">
        <v>2881500000</v>
      </c>
      <c r="K194" s="12">
        <v>3170500000</v>
      </c>
      <c r="L194" s="12">
        <v>3532700000</v>
      </c>
      <c r="M194" s="12">
        <v>3941700000</v>
      </c>
      <c r="N194" s="12">
        <v>4460700000</v>
      </c>
      <c r="O194" s="12">
        <v>5034700000</v>
      </c>
      <c r="P194" s="12">
        <v>5646800000</v>
      </c>
      <c r="Q194" s="12">
        <v>6328900000</v>
      </c>
      <c r="R194" s="12">
        <v>7002400000</v>
      </c>
      <c r="S194" s="12">
        <v>7684800000</v>
      </c>
      <c r="T194" s="12">
        <v>8198300000</v>
      </c>
      <c r="U194" s="12">
        <v>8968600000</v>
      </c>
      <c r="V194" s="12">
        <v>9910900000</v>
      </c>
      <c r="W194" s="12">
        <v>11165000000</v>
      </c>
      <c r="X194" s="12">
        <v>12750000000</v>
      </c>
      <c r="Y194" s="12">
        <v>14436100000</v>
      </c>
      <c r="Z194" s="12">
        <v>15955700000</v>
      </c>
      <c r="AA194" s="12">
        <v>16764200000</v>
      </c>
      <c r="AB194" s="12">
        <v>17276600000</v>
      </c>
      <c r="AC194" s="12">
        <v>19162600000</v>
      </c>
      <c r="AD194" s="12">
        <v>20289200000</v>
      </c>
      <c r="AE194" s="12">
        <v>22009300000</v>
      </c>
      <c r="AF194" s="12">
        <v>24025800000</v>
      </c>
      <c r="AG194" s="12">
        <v>26385800000</v>
      </c>
      <c r="AH194" s="12">
        <v>28161200000</v>
      </c>
      <c r="AI194" s="12">
        <v>30603919000</v>
      </c>
      <c r="AJ194" s="12">
        <v>32287031000</v>
      </c>
      <c r="AK194" s="12">
        <v>34630430000</v>
      </c>
      <c r="AL194" s="12">
        <v>36922456000</v>
      </c>
      <c r="AM194" s="12">
        <v>39690630000</v>
      </c>
      <c r="AN194" s="12">
        <v>42647331000</v>
      </c>
      <c r="AO194" s="12">
        <v>45340835000</v>
      </c>
      <c r="AP194" s="12">
        <v>48187039000</v>
      </c>
      <c r="AQ194" s="12">
        <v>54086400000</v>
      </c>
      <c r="AR194" s="12">
        <v>57841000000</v>
      </c>
      <c r="AS194" s="12">
        <v>61701800000</v>
      </c>
      <c r="AT194" s="12">
        <v>69208400000</v>
      </c>
      <c r="AU194" s="12">
        <v>71623500000</v>
      </c>
      <c r="AV194" s="12">
        <v>74827400000</v>
      </c>
      <c r="AW194" s="12">
        <v>80322313000</v>
      </c>
      <c r="AX194" s="12">
        <v>83914521300</v>
      </c>
      <c r="AY194" s="12">
        <v>87276164400</v>
      </c>
      <c r="AZ194" s="12">
        <v>89524131600</v>
      </c>
      <c r="BA194" s="12">
        <v>93639300000</v>
      </c>
      <c r="BB194" s="12">
        <v>96385600000</v>
      </c>
      <c r="BC194" s="12">
        <v>98381300000</v>
      </c>
      <c r="BD194" s="12">
        <v>100351700000</v>
      </c>
      <c r="BE194" s="12">
        <v>101564800000</v>
      </c>
      <c r="BF194" s="12">
        <v>102450000000</v>
      </c>
      <c r="BG194" s="12">
        <v>102445800000</v>
      </c>
      <c r="BH194" s="12">
        <v>103375500000</v>
      </c>
      <c r="BI194" s="12">
        <v>104336700000</v>
      </c>
      <c r="BJ194" s="12">
        <v>103445500000</v>
      </c>
      <c r="BK194" s="12">
        <v>100958100000</v>
      </c>
      <c r="BL194" s="12">
        <v>105126400000</v>
      </c>
      <c r="BM194" s="12">
        <v>103130900000</v>
      </c>
      <c r="BN194" s="12">
        <v>106368900000</v>
      </c>
      <c r="BO194" s="12">
        <v>113434800000</v>
      </c>
    </row>
    <row r="195" spans="1:67" x14ac:dyDescent="0.2">
      <c r="A195" s="12" t="s">
        <v>1068</v>
      </c>
      <c r="B195" s="12" t="s">
        <v>372</v>
      </c>
      <c r="C195" s="12" t="s">
        <v>978</v>
      </c>
      <c r="D195" s="12" t="s">
        <v>979</v>
      </c>
    </row>
    <row r="196" spans="1:67" x14ac:dyDescent="0.2">
      <c r="A196" s="12" t="s">
        <v>23</v>
      </c>
      <c r="B196" s="12" t="s">
        <v>22</v>
      </c>
      <c r="C196" s="12" t="s">
        <v>978</v>
      </c>
      <c r="D196" s="12" t="s">
        <v>979</v>
      </c>
      <c r="E196" s="12">
        <v>3193200404.3729701</v>
      </c>
      <c r="F196" s="12">
        <v>3417516639.3759599</v>
      </c>
      <c r="G196" s="12">
        <v>3668222357.6570201</v>
      </c>
      <c r="H196" s="12">
        <v>3905734459.7269301</v>
      </c>
      <c r="I196" s="12">
        <v>4235608177.67102</v>
      </c>
      <c r="J196" s="12">
        <v>4687464054.8345499</v>
      </c>
      <c r="K196" s="12">
        <v>5135387845.9710798</v>
      </c>
      <c r="L196" s="12">
        <v>5740241165.6343298</v>
      </c>
      <c r="M196" s="12">
        <v>6354262628.3353701</v>
      </c>
      <c r="N196" s="12">
        <v>6969025825.6286802</v>
      </c>
      <c r="O196" s="12">
        <v>8108235704.3235703</v>
      </c>
      <c r="P196" s="12">
        <v>9201604240.28269</v>
      </c>
      <c r="Q196" s="12">
        <v>11239117865.085199</v>
      </c>
      <c r="R196" s="12">
        <v>15090564186.4268</v>
      </c>
      <c r="S196" s="12">
        <v>17512391475.927399</v>
      </c>
      <c r="T196" s="12">
        <v>19347607843.137299</v>
      </c>
      <c r="U196" s="12">
        <v>20332831564.986698</v>
      </c>
      <c r="V196" s="12">
        <v>21439523310.633801</v>
      </c>
      <c r="W196" s="12">
        <v>23487614051.094898</v>
      </c>
      <c r="X196" s="12">
        <v>26622819672.1311</v>
      </c>
      <c r="Y196" s="12">
        <v>32896519823.788502</v>
      </c>
      <c r="Z196" s="12">
        <v>31977276872.964199</v>
      </c>
      <c r="AA196" s="12">
        <v>30527754793.138199</v>
      </c>
      <c r="AB196" s="12">
        <v>27239650741.947201</v>
      </c>
      <c r="AC196" s="12">
        <v>25217969049.5755</v>
      </c>
      <c r="AD196" s="12">
        <v>27115807742.087299</v>
      </c>
      <c r="AE196" s="12">
        <v>38745901353.705902</v>
      </c>
      <c r="AF196" s="12">
        <v>48182925857.407097</v>
      </c>
      <c r="AG196" s="12">
        <v>56347250696.378799</v>
      </c>
      <c r="AH196" s="12">
        <v>60594092182.327499</v>
      </c>
      <c r="AI196" s="12">
        <v>78713860216.565903</v>
      </c>
      <c r="AJ196" s="12">
        <v>89233599278.479202</v>
      </c>
      <c r="AK196" s="12">
        <v>107592098307.09801</v>
      </c>
      <c r="AL196" s="12">
        <v>95009751901.259201</v>
      </c>
      <c r="AM196" s="12">
        <v>99688641304.347794</v>
      </c>
      <c r="AN196" s="12">
        <v>118122007430.01199</v>
      </c>
      <c r="AO196" s="12">
        <v>122630089680.27</v>
      </c>
      <c r="AP196" s="12">
        <v>117016535162.95</v>
      </c>
      <c r="AQ196" s="12">
        <v>123946327916.29601</v>
      </c>
      <c r="AR196" s="12">
        <v>127470385557.18401</v>
      </c>
      <c r="AS196" s="12">
        <v>118605192877.388</v>
      </c>
      <c r="AT196" s="12">
        <v>121604107164.99699</v>
      </c>
      <c r="AU196" s="12">
        <v>134795565549.41901</v>
      </c>
      <c r="AV196" s="12">
        <v>165226175536.793</v>
      </c>
      <c r="AW196" s="12">
        <v>189382122532.16901</v>
      </c>
      <c r="AX196" s="12">
        <v>197253876704.92099</v>
      </c>
      <c r="AY196" s="12">
        <v>208756449275.84799</v>
      </c>
      <c r="AZ196" s="12">
        <v>240496147317.38101</v>
      </c>
      <c r="BA196" s="12">
        <v>263416394624.08401</v>
      </c>
      <c r="BB196" s="12">
        <v>244667762835.543</v>
      </c>
      <c r="BC196" s="12">
        <v>238113003233.284</v>
      </c>
      <c r="BD196" s="12">
        <v>245117990242.24799</v>
      </c>
      <c r="BE196" s="12">
        <v>216224240577.957</v>
      </c>
      <c r="BF196" s="12">
        <v>226433858005.71399</v>
      </c>
      <c r="BG196" s="12">
        <v>229901964221.884</v>
      </c>
      <c r="BH196" s="12">
        <v>199394066525.44</v>
      </c>
      <c r="BI196" s="12">
        <v>206426152308.931</v>
      </c>
      <c r="BJ196" s="12">
        <v>221357874718.92999</v>
      </c>
      <c r="BK196" s="12">
        <v>242313116577.96701</v>
      </c>
      <c r="BL196" s="12">
        <v>239986922638.90201</v>
      </c>
      <c r="BM196" s="12">
        <v>229031860520.77701</v>
      </c>
      <c r="BN196" s="12">
        <v>255534839405.89899</v>
      </c>
      <c r="BO196" s="12">
        <v>255196660987.427</v>
      </c>
    </row>
    <row r="197" spans="1:67" x14ac:dyDescent="0.2">
      <c r="A197" s="12" t="s">
        <v>213</v>
      </c>
      <c r="B197" s="12" t="s">
        <v>212</v>
      </c>
      <c r="C197" s="12" t="s">
        <v>978</v>
      </c>
      <c r="D197" s="12" t="s">
        <v>979</v>
      </c>
      <c r="J197" s="12">
        <v>443587301.58730203</v>
      </c>
      <c r="K197" s="12">
        <v>465888888.88888901</v>
      </c>
      <c r="L197" s="12">
        <v>492674603.17460299</v>
      </c>
      <c r="M197" s="12">
        <v>517650793.65079403</v>
      </c>
      <c r="N197" s="12">
        <v>556293650.79365098</v>
      </c>
      <c r="O197" s="12">
        <v>594611111.11111104</v>
      </c>
      <c r="P197" s="12">
        <v>664571428.57142901</v>
      </c>
      <c r="Q197" s="12">
        <v>769039682.53968298</v>
      </c>
      <c r="R197" s="12">
        <v>995531746.03174603</v>
      </c>
      <c r="S197" s="12">
        <v>1333475396.8254001</v>
      </c>
      <c r="T197" s="12">
        <v>1511420634.92063</v>
      </c>
      <c r="U197" s="12">
        <v>1698960317.46032</v>
      </c>
      <c r="V197" s="12">
        <v>2092158730.15873</v>
      </c>
      <c r="W197" s="12">
        <v>2559857142.8571401</v>
      </c>
      <c r="X197" s="12">
        <v>3416777777.7777801</v>
      </c>
      <c r="Y197" s="12">
        <v>4448087301.5873003</v>
      </c>
      <c r="Z197" s="12">
        <v>5624515873.0158701</v>
      </c>
      <c r="AA197" s="12">
        <v>5419411764.7058802</v>
      </c>
      <c r="AB197" s="12">
        <v>5673248726.1643801</v>
      </c>
      <c r="AC197" s="12">
        <v>4502462807.1399298</v>
      </c>
      <c r="AD197" s="12">
        <v>3282449235.7612901</v>
      </c>
      <c r="AE197" s="12">
        <v>3723993942.7908802</v>
      </c>
      <c r="AF197" s="12">
        <v>3971044723.8024001</v>
      </c>
      <c r="AG197" s="12">
        <v>4255683528.3333302</v>
      </c>
      <c r="AH197" s="12">
        <v>4757732199.9621296</v>
      </c>
      <c r="AI197" s="12">
        <v>5812114523.0118704</v>
      </c>
      <c r="AJ197" s="12">
        <v>6984367762.9037104</v>
      </c>
      <c r="AK197" s="12">
        <v>7157424031.0604496</v>
      </c>
      <c r="AL197" s="12">
        <v>7249533620.3061399</v>
      </c>
      <c r="AM197" s="12">
        <v>7870982004.8195</v>
      </c>
      <c r="AN197" s="12">
        <v>9062131475.02318</v>
      </c>
      <c r="AO197" s="12">
        <v>9788391780.52421</v>
      </c>
      <c r="AP197" s="12">
        <v>9965225678.05093</v>
      </c>
      <c r="AQ197" s="12">
        <v>9260481572.4246197</v>
      </c>
      <c r="AR197" s="12">
        <v>8837070235.5189209</v>
      </c>
      <c r="AS197" s="12">
        <v>8855705139.5585709</v>
      </c>
      <c r="AT197" s="12">
        <v>8495806432.1846704</v>
      </c>
      <c r="AU197" s="12">
        <v>7196260656.8455601</v>
      </c>
      <c r="AV197" s="12">
        <v>7691367471.1799202</v>
      </c>
      <c r="AW197" s="12">
        <v>9624440836.2930908</v>
      </c>
      <c r="AX197" s="12">
        <v>10737500188.112301</v>
      </c>
      <c r="AY197" s="12">
        <v>13429430050.261</v>
      </c>
      <c r="AZ197" s="12">
        <v>17856393235.4338</v>
      </c>
      <c r="BA197" s="12">
        <v>24615267663.545601</v>
      </c>
      <c r="BB197" s="12">
        <v>22355151161.993999</v>
      </c>
      <c r="BC197" s="12">
        <v>27260886405.226299</v>
      </c>
      <c r="BD197" s="12">
        <v>33756238766.5</v>
      </c>
      <c r="BE197" s="12">
        <v>33271921136.314999</v>
      </c>
      <c r="BF197" s="12">
        <v>38501122141.424103</v>
      </c>
      <c r="BG197" s="12">
        <v>40377929295.641899</v>
      </c>
      <c r="BH197" s="12">
        <v>36211447840.097099</v>
      </c>
      <c r="BI197" s="12">
        <v>36089700222.946098</v>
      </c>
      <c r="BJ197" s="12">
        <v>38997129473.555801</v>
      </c>
      <c r="BK197" s="12">
        <v>40225448340.632202</v>
      </c>
      <c r="BL197" s="12">
        <v>37925338329.149399</v>
      </c>
      <c r="BM197" s="12">
        <v>35432178068.181396</v>
      </c>
      <c r="BN197" s="12">
        <v>39950899938.748199</v>
      </c>
      <c r="BO197" s="12">
        <v>41722295229.227898</v>
      </c>
    </row>
    <row r="198" spans="1:67" x14ac:dyDescent="0.2">
      <c r="A198" s="12" t="s">
        <v>1069</v>
      </c>
      <c r="B198" s="12" t="s">
        <v>1070</v>
      </c>
      <c r="C198" s="12" t="s">
        <v>978</v>
      </c>
      <c r="D198" s="12" t="s">
        <v>979</v>
      </c>
      <c r="AM198" s="12">
        <v>2843300000</v>
      </c>
      <c r="AN198" s="12">
        <v>3282800000</v>
      </c>
      <c r="AO198" s="12">
        <v>3409600000</v>
      </c>
      <c r="AP198" s="12">
        <v>3759800000</v>
      </c>
      <c r="AQ198" s="12">
        <v>4067800000</v>
      </c>
      <c r="AR198" s="12">
        <v>4271200000</v>
      </c>
      <c r="AS198" s="12">
        <v>4313600000</v>
      </c>
      <c r="AT198" s="12">
        <v>4003700000</v>
      </c>
      <c r="AU198" s="12">
        <v>3555800000</v>
      </c>
      <c r="AV198" s="12">
        <v>3968000000</v>
      </c>
      <c r="AW198" s="12">
        <v>4603100000</v>
      </c>
      <c r="AX198" s="12">
        <v>5125700000</v>
      </c>
      <c r="AY198" s="12">
        <v>5348300000</v>
      </c>
      <c r="AZ198" s="12">
        <v>5815700000</v>
      </c>
      <c r="BA198" s="12">
        <v>7310400000</v>
      </c>
      <c r="BB198" s="12">
        <v>8085700000</v>
      </c>
      <c r="BC198" s="12">
        <v>9681500000</v>
      </c>
      <c r="BD198" s="12">
        <v>11186100000</v>
      </c>
      <c r="BE198" s="12">
        <v>12208400000</v>
      </c>
      <c r="BF198" s="12">
        <v>13515500000</v>
      </c>
      <c r="BG198" s="12">
        <v>13989700000</v>
      </c>
      <c r="BH198" s="12">
        <v>13972400000</v>
      </c>
      <c r="BI198" s="12">
        <v>15405400000</v>
      </c>
      <c r="BJ198" s="12">
        <v>16128000000</v>
      </c>
      <c r="BK198" s="12">
        <v>16276600000</v>
      </c>
      <c r="BL198" s="12">
        <v>17133500000</v>
      </c>
      <c r="BM198" s="12">
        <v>15531700000</v>
      </c>
      <c r="BN198" s="12">
        <v>18109000000</v>
      </c>
      <c r="BO198" s="12">
        <v>19111900000</v>
      </c>
    </row>
    <row r="199" spans="1:67" x14ac:dyDescent="0.2">
      <c r="A199" s="12" t="s">
        <v>1071</v>
      </c>
      <c r="B199" s="12" t="s">
        <v>1072</v>
      </c>
      <c r="C199" s="12" t="s">
        <v>978</v>
      </c>
      <c r="D199" s="12" t="s">
        <v>979</v>
      </c>
      <c r="P199" s="12">
        <v>437447620.70466202</v>
      </c>
      <c r="Q199" s="12">
        <v>525633065.44564003</v>
      </c>
      <c r="R199" s="12">
        <v>716679317.38991594</v>
      </c>
      <c r="S199" s="12">
        <v>1018241258.71443</v>
      </c>
      <c r="T199" s="12">
        <v>1137316407.1954601</v>
      </c>
      <c r="U199" s="12">
        <v>1140399982.46557</v>
      </c>
      <c r="V199" s="12">
        <v>1189769093.5889599</v>
      </c>
      <c r="W199" s="12">
        <v>1379938899.2246799</v>
      </c>
      <c r="X199" s="12">
        <v>1690541200.27531</v>
      </c>
      <c r="Y199" s="12">
        <v>1966098871.6229999</v>
      </c>
      <c r="Z199" s="12">
        <v>2023806842.7530999</v>
      </c>
      <c r="AA199" s="12">
        <v>1974340784.1076601</v>
      </c>
      <c r="AB199" s="12">
        <v>1877614909.9622099</v>
      </c>
      <c r="AC199" s="12">
        <v>1979415833.78969</v>
      </c>
      <c r="AD199" s="12">
        <v>1873327091.11215</v>
      </c>
      <c r="AE199" s="12">
        <v>2042413981.57409</v>
      </c>
      <c r="AF199" s="12">
        <v>1987652106.80162</v>
      </c>
      <c r="AG199" s="12">
        <v>2033226862.7195301</v>
      </c>
      <c r="AH199" s="12">
        <v>2103611535.6127</v>
      </c>
      <c r="AI199" s="12">
        <v>2354687466.0651002</v>
      </c>
      <c r="AJ199" s="12">
        <v>2500551371.9627299</v>
      </c>
      <c r="AK199" s="12">
        <v>2743014361.4689398</v>
      </c>
      <c r="AL199" s="12">
        <v>2908044325.0911102</v>
      </c>
      <c r="AM199" s="12">
        <v>3426105661.7491498</v>
      </c>
      <c r="AN199" s="12">
        <v>3716903983.9107499</v>
      </c>
      <c r="AO199" s="12">
        <v>3978860484.9059501</v>
      </c>
      <c r="AP199" s="12">
        <v>3985888227.5051599</v>
      </c>
      <c r="AQ199" s="12">
        <v>3413057976.54108</v>
      </c>
      <c r="AR199" s="12">
        <v>3750909522.2142401</v>
      </c>
      <c r="AS199" s="12">
        <v>3435656409.2662201</v>
      </c>
      <c r="AT199" s="12">
        <v>3389381028.8480401</v>
      </c>
      <c r="AU199" s="12">
        <v>3558832712.52145</v>
      </c>
      <c r="AV199" s="12">
        <v>4239179347.0894799</v>
      </c>
      <c r="AW199" s="12">
        <v>4877983057.20364</v>
      </c>
      <c r="AX199" s="12">
        <v>5419134785.4495201</v>
      </c>
      <c r="AY199" s="12">
        <v>5688865057.5938501</v>
      </c>
      <c r="AZ199" s="12">
        <v>6273728190.3540401</v>
      </c>
      <c r="BA199" s="12">
        <v>6704438346.9414902</v>
      </c>
      <c r="BB199" s="12">
        <v>6031358946.0293798</v>
      </c>
      <c r="BC199" s="12">
        <v>6634285955.0184898</v>
      </c>
      <c r="BD199" s="12">
        <v>7736812355.7342196</v>
      </c>
      <c r="BE199" s="12">
        <v>8198463635.3217201</v>
      </c>
      <c r="BF199" s="12">
        <v>8523914644.7058601</v>
      </c>
      <c r="BG199" s="12">
        <v>9263445656.6553707</v>
      </c>
      <c r="BH199" s="12">
        <v>9054326773.2740402</v>
      </c>
      <c r="BI199" s="12">
        <v>9504027215.7398891</v>
      </c>
      <c r="BJ199" s="12">
        <v>10256679807.601</v>
      </c>
      <c r="BK199" s="12">
        <v>10764416947.198</v>
      </c>
      <c r="BL199" s="12">
        <v>10709524679.978201</v>
      </c>
      <c r="BM199" s="12">
        <v>9492350931.3044395</v>
      </c>
      <c r="BN199" s="12">
        <v>9500154100.4459</v>
      </c>
      <c r="BO199" s="12">
        <v>10324332231.780199</v>
      </c>
    </row>
    <row r="200" spans="1:67" x14ac:dyDescent="0.2">
      <c r="A200" s="12" t="s">
        <v>1073</v>
      </c>
      <c r="B200" s="12" t="s">
        <v>1074</v>
      </c>
      <c r="C200" s="12" t="s">
        <v>978</v>
      </c>
      <c r="D200" s="12" t="s">
        <v>979</v>
      </c>
      <c r="E200" s="12">
        <v>1046741634199.01</v>
      </c>
      <c r="F200" s="12">
        <v>1106728704067.5901</v>
      </c>
      <c r="G200" s="12">
        <v>1194982342937.03</v>
      </c>
      <c r="H200" s="12">
        <v>1287212060586.6201</v>
      </c>
      <c r="I200" s="12">
        <v>1404371222750.03</v>
      </c>
      <c r="J200" s="12">
        <v>1525817187832.1201</v>
      </c>
      <c r="K200" s="12">
        <v>1673612181151.4299</v>
      </c>
      <c r="L200" s="12">
        <v>1796591761674.6399</v>
      </c>
      <c r="M200" s="12">
        <v>1948722162365.26</v>
      </c>
      <c r="N200" s="12">
        <v>2142707737631.77</v>
      </c>
      <c r="O200" s="12">
        <v>2345373966420.54</v>
      </c>
      <c r="P200" s="12">
        <v>2600499560693.7798</v>
      </c>
      <c r="Q200" s="12">
        <v>3017533340765.3599</v>
      </c>
      <c r="R200" s="12">
        <v>3644287250747.96</v>
      </c>
      <c r="S200" s="12">
        <v>4069883782596.25</v>
      </c>
      <c r="T200" s="12">
        <v>4559830057134.3398</v>
      </c>
      <c r="U200" s="12">
        <v>4948488553951.8701</v>
      </c>
      <c r="V200" s="12">
        <v>5595821609121.29</v>
      </c>
      <c r="W200" s="12">
        <v>6726948923860.46</v>
      </c>
      <c r="X200" s="12">
        <v>7731819776254.1797</v>
      </c>
      <c r="Y200" s="12">
        <v>8560448392240.7803</v>
      </c>
      <c r="Z200" s="12">
        <v>8659319951219.5898</v>
      </c>
      <c r="AA200" s="12">
        <v>8619543695805.6602</v>
      </c>
      <c r="AB200" s="12">
        <v>8947749331083.1797</v>
      </c>
      <c r="AC200" s="12">
        <v>9349595721058.3496</v>
      </c>
      <c r="AD200" s="12">
        <v>9844438479187.7109</v>
      </c>
      <c r="AE200" s="12">
        <v>12035229351238.699</v>
      </c>
      <c r="AF200" s="12">
        <v>13954429275629</v>
      </c>
      <c r="AG200" s="12">
        <v>15718896283131.801</v>
      </c>
      <c r="AH200" s="12">
        <v>16413248070733.5</v>
      </c>
      <c r="AI200" s="12">
        <v>18415065842465.398</v>
      </c>
      <c r="AJ200" s="12">
        <v>19444623831660.301</v>
      </c>
      <c r="AK200" s="12">
        <v>20875069152452.699</v>
      </c>
      <c r="AL200" s="12">
        <v>21031404311355.199</v>
      </c>
      <c r="AM200" s="12">
        <v>22521943357227.102</v>
      </c>
      <c r="AN200" s="12">
        <v>24976734015084.301</v>
      </c>
      <c r="AO200" s="12">
        <v>25095080550814.801</v>
      </c>
      <c r="AP200" s="12">
        <v>24601809511219.898</v>
      </c>
      <c r="AQ200" s="12">
        <v>24708014062399.102</v>
      </c>
      <c r="AR200" s="12">
        <v>25945423419531.699</v>
      </c>
      <c r="AS200" s="12">
        <v>26398744972704.602</v>
      </c>
      <c r="AT200" s="12">
        <v>26143663079923.602</v>
      </c>
      <c r="AU200" s="12">
        <v>27268411471911.199</v>
      </c>
      <c r="AV200" s="12">
        <v>30570427188324.398</v>
      </c>
      <c r="AW200" s="12">
        <v>33970416656653.102</v>
      </c>
      <c r="AX200" s="12">
        <v>35741466648908.398</v>
      </c>
      <c r="AY200" s="12">
        <v>37604010452010.797</v>
      </c>
      <c r="AZ200" s="12">
        <v>41042314403153.297</v>
      </c>
      <c r="BA200" s="12">
        <v>43475161351370.898</v>
      </c>
      <c r="BB200" s="12">
        <v>40925357140745.398</v>
      </c>
      <c r="BC200" s="12">
        <v>42685417198862.398</v>
      </c>
      <c r="BD200" s="12">
        <v>45847634138446.898</v>
      </c>
      <c r="BE200" s="12">
        <v>45779625495594.102</v>
      </c>
      <c r="BF200" s="12">
        <v>46233111841911.398</v>
      </c>
      <c r="BG200" s="12">
        <v>47149716647837.703</v>
      </c>
      <c r="BH200" s="12">
        <v>44580568561930</v>
      </c>
      <c r="BI200" s="12">
        <v>45583281100458.602</v>
      </c>
      <c r="BJ200" s="12">
        <v>47532077024725.297</v>
      </c>
      <c r="BK200" s="12">
        <v>50380466224066</v>
      </c>
      <c r="BL200" s="12">
        <v>50878122051753.5</v>
      </c>
      <c r="BM200" s="12">
        <v>49740885136767.297</v>
      </c>
      <c r="BN200" s="12">
        <v>55301094121160.703</v>
      </c>
      <c r="BO200" s="12">
        <v>56211584699649.398</v>
      </c>
    </row>
    <row r="201" spans="1:67" x14ac:dyDescent="0.2">
      <c r="A201" s="12" t="s">
        <v>921</v>
      </c>
      <c r="B201" s="12" t="s">
        <v>1075</v>
      </c>
      <c r="C201" s="12" t="s">
        <v>978</v>
      </c>
      <c r="D201" s="12" t="s">
        <v>979</v>
      </c>
      <c r="J201" s="12">
        <v>176534588.403052</v>
      </c>
      <c r="K201" s="12">
        <v>215659453.55093899</v>
      </c>
      <c r="L201" s="12">
        <v>220984367.62658101</v>
      </c>
      <c r="M201" s="12">
        <v>259590074.52793401</v>
      </c>
      <c r="N201" s="12">
        <v>242943783.14273599</v>
      </c>
      <c r="O201" s="12">
        <v>254036000.75258699</v>
      </c>
      <c r="P201" s="12">
        <v>296865513.74681699</v>
      </c>
      <c r="Q201" s="12">
        <v>326433558.07607901</v>
      </c>
      <c r="R201" s="12">
        <v>431252938.061046</v>
      </c>
      <c r="S201" s="12">
        <v>555340842.86031103</v>
      </c>
      <c r="T201" s="12">
        <v>690323388.52990699</v>
      </c>
      <c r="U201" s="12">
        <v>732288906.27395403</v>
      </c>
      <c r="V201" s="12">
        <v>793196378.70882595</v>
      </c>
      <c r="W201" s="12">
        <v>1005569835.3966399</v>
      </c>
      <c r="X201" s="12">
        <v>1215032463.6733601</v>
      </c>
      <c r="Y201" s="12">
        <v>1320416024.9559</v>
      </c>
      <c r="Z201" s="12">
        <v>1234743073.0049701</v>
      </c>
      <c r="AA201" s="12">
        <v>1235897957.8926499</v>
      </c>
      <c r="AB201" s="12">
        <v>1284180701.00969</v>
      </c>
      <c r="AC201" s="12">
        <v>1325515445.08197</v>
      </c>
      <c r="AD201" s="12">
        <v>1448281228.15853</v>
      </c>
      <c r="AE201" s="12">
        <v>2212028299.5602798</v>
      </c>
      <c r="AF201" s="12">
        <v>2677977163.2116299</v>
      </c>
      <c r="AG201" s="12">
        <v>2723496362.0464501</v>
      </c>
      <c r="AH201" s="12">
        <v>2731683484.4562302</v>
      </c>
      <c r="AI201" s="12">
        <v>3320159522.3657298</v>
      </c>
      <c r="AJ201" s="12">
        <v>3410078967.8982301</v>
      </c>
      <c r="AK201" s="12">
        <v>3713785765.42205</v>
      </c>
      <c r="AL201" s="12">
        <v>3544608548.4173398</v>
      </c>
      <c r="AM201" s="12">
        <v>3676123788.0323</v>
      </c>
      <c r="AN201" s="12">
        <v>4186994249.0886102</v>
      </c>
      <c r="AO201" s="12">
        <v>4166072829.6009898</v>
      </c>
      <c r="AP201" s="12">
        <v>3762859093.26192</v>
      </c>
      <c r="AQ201" s="12">
        <v>3903186592.8243098</v>
      </c>
      <c r="AR201" s="12">
        <v>3911602004.1420498</v>
      </c>
      <c r="AS201" s="12">
        <v>3599845480.3435898</v>
      </c>
      <c r="AT201" s="12">
        <v>3573808556.3126798</v>
      </c>
      <c r="AU201" s="12">
        <v>3965405552.5202999</v>
      </c>
      <c r="AV201" s="12">
        <v>4927780606.7707005</v>
      </c>
      <c r="AW201" s="12">
        <v>5564109981.9138002</v>
      </c>
      <c r="AX201" s="12">
        <v>5705052134.5425301</v>
      </c>
      <c r="AY201" s="12">
        <v>5877997979.6226597</v>
      </c>
      <c r="AZ201" s="12">
        <v>6631156405.5963697</v>
      </c>
      <c r="BA201" s="12">
        <v>7136741421.9590797</v>
      </c>
      <c r="BB201" s="12">
        <v>6584557973.9375</v>
      </c>
      <c r="BC201" s="12">
        <v>6086644798.5598202</v>
      </c>
      <c r="BD201" s="12">
        <v>6203940036.9198198</v>
      </c>
      <c r="BE201" s="12">
        <v>5692858099.0021696</v>
      </c>
      <c r="BF201" s="12">
        <v>6031827122.6066303</v>
      </c>
      <c r="BG201" s="12">
        <v>6151996560.8428898</v>
      </c>
      <c r="BH201" s="12">
        <v>5325846361.8118601</v>
      </c>
      <c r="BI201" s="12">
        <v>5497036476.8030996</v>
      </c>
      <c r="BJ201" s="12">
        <v>5833352692.7995005</v>
      </c>
      <c r="BK201" s="12">
        <v>6135116253.3345203</v>
      </c>
      <c r="BL201" s="12">
        <v>6022276196.13871</v>
      </c>
      <c r="BM201" s="12">
        <v>5792545870.8061399</v>
      </c>
      <c r="BN201" s="12">
        <v>6150640646.3831902</v>
      </c>
      <c r="BO201" s="12">
        <v>5814661208.9054403</v>
      </c>
    </row>
    <row r="202" spans="1:67" x14ac:dyDescent="0.2">
      <c r="A202" s="12" t="s">
        <v>233</v>
      </c>
      <c r="B202" s="12" t="s">
        <v>232</v>
      </c>
      <c r="C202" s="12" t="s">
        <v>978</v>
      </c>
      <c r="D202" s="12" t="s">
        <v>979</v>
      </c>
      <c r="O202" s="12">
        <v>301791301.79130203</v>
      </c>
      <c r="P202" s="12">
        <v>387703105.52125198</v>
      </c>
      <c r="Q202" s="12">
        <v>510262500.1767</v>
      </c>
      <c r="R202" s="12">
        <v>793885559.971313</v>
      </c>
      <c r="S202" s="12">
        <v>2401403227.4408498</v>
      </c>
      <c r="T202" s="12">
        <v>2512773165.8117299</v>
      </c>
      <c r="U202" s="12">
        <v>3284273986.71808</v>
      </c>
      <c r="V202" s="12">
        <v>3617564637.8886499</v>
      </c>
      <c r="W202" s="12">
        <v>4052000412.70087</v>
      </c>
      <c r="X202" s="12">
        <v>5632962996.8264103</v>
      </c>
      <c r="Y202" s="12">
        <v>7829165261.8139601</v>
      </c>
      <c r="Z202" s="12">
        <v>8661263763.7362595</v>
      </c>
      <c r="AA202" s="12">
        <v>7596703214.2857103</v>
      </c>
      <c r="AB202" s="12">
        <v>6467582307.6923103</v>
      </c>
      <c r="AC202" s="12">
        <v>6704395824.1758204</v>
      </c>
      <c r="AD202" s="12">
        <v>6153296456.0439596</v>
      </c>
      <c r="AE202" s="12">
        <v>5053021950.5494499</v>
      </c>
      <c r="AF202" s="12">
        <v>5446428681.3186798</v>
      </c>
      <c r="AG202" s="12">
        <v>6038187032.9670296</v>
      </c>
      <c r="AH202" s="12">
        <v>6487912087.9120903</v>
      </c>
      <c r="AI202" s="12">
        <v>7360439423.0769196</v>
      </c>
      <c r="AJ202" s="12">
        <v>6883516483.5164804</v>
      </c>
      <c r="AK202" s="12">
        <v>7646153983.5164804</v>
      </c>
      <c r="AL202" s="12">
        <v>7156593653.8461504</v>
      </c>
      <c r="AM202" s="12">
        <v>7374450769.2307701</v>
      </c>
      <c r="AN202" s="12">
        <v>8137911978.0219803</v>
      </c>
      <c r="AO202" s="12">
        <v>9059340384.6153908</v>
      </c>
      <c r="AP202" s="12">
        <v>11297802115.3846</v>
      </c>
      <c r="AQ202" s="12">
        <v>10255495027.4725</v>
      </c>
      <c r="AR202" s="12">
        <v>12393131868.131901</v>
      </c>
      <c r="AS202" s="12">
        <v>17759890109.890099</v>
      </c>
      <c r="AT202" s="12">
        <v>17538461538.461498</v>
      </c>
      <c r="AU202" s="12">
        <v>19363736263.736301</v>
      </c>
      <c r="AV202" s="12">
        <v>23533791208.791199</v>
      </c>
      <c r="AW202" s="12">
        <v>31734065934.065899</v>
      </c>
      <c r="AX202" s="12">
        <v>44530494505.494499</v>
      </c>
      <c r="AY202" s="12">
        <v>60882142857.142899</v>
      </c>
      <c r="AZ202" s="12">
        <v>79712087912.087906</v>
      </c>
      <c r="BA202" s="12">
        <v>115270054945.05499</v>
      </c>
      <c r="BB202" s="12">
        <v>97798351648.351593</v>
      </c>
      <c r="BC202" s="12">
        <v>125122306346.15401</v>
      </c>
      <c r="BD202" s="12">
        <v>167775268626.37399</v>
      </c>
      <c r="BE202" s="12">
        <v>186833502362.63699</v>
      </c>
      <c r="BF202" s="12">
        <v>198727642967.03299</v>
      </c>
      <c r="BG202" s="12">
        <v>206224598571.42899</v>
      </c>
      <c r="BH202" s="12">
        <v>161739955576.923</v>
      </c>
      <c r="BI202" s="12">
        <v>151732181868.13199</v>
      </c>
      <c r="BJ202" s="12">
        <v>161099122225.27499</v>
      </c>
      <c r="BK202" s="12">
        <v>183334953818.681</v>
      </c>
      <c r="BL202" s="12">
        <v>176371267689.082</v>
      </c>
      <c r="BM202" s="12">
        <v>144411363345.26999</v>
      </c>
      <c r="BN202" s="12">
        <v>179732009554.84601</v>
      </c>
      <c r="BO202" s="12">
        <v>236258302839.65302</v>
      </c>
    </row>
    <row r="203" spans="1:67" x14ac:dyDescent="0.2">
      <c r="A203" s="12" t="s">
        <v>57</v>
      </c>
      <c r="B203" s="12" t="s">
        <v>56</v>
      </c>
      <c r="C203" s="12" t="s">
        <v>978</v>
      </c>
      <c r="D203" s="12" t="s">
        <v>979</v>
      </c>
      <c r="AF203" s="12">
        <v>38067567567.567596</v>
      </c>
      <c r="AG203" s="12">
        <v>40424528301.886803</v>
      </c>
      <c r="AH203" s="12">
        <v>41450777202.072502</v>
      </c>
      <c r="AI203" s="12">
        <v>38247882300.490402</v>
      </c>
      <c r="AJ203" s="12">
        <v>28850634899.855999</v>
      </c>
      <c r="AK203" s="12">
        <v>25121666666.666698</v>
      </c>
      <c r="AL203" s="12">
        <v>26361160449.970402</v>
      </c>
      <c r="AM203" s="12">
        <v>30072805104.2542</v>
      </c>
      <c r="AN203" s="12">
        <v>37430162102.612503</v>
      </c>
      <c r="AO203" s="12">
        <v>36937074278.3004</v>
      </c>
      <c r="AP203" s="12">
        <v>35575214078.242798</v>
      </c>
      <c r="AQ203" s="12">
        <v>41696091973.707603</v>
      </c>
      <c r="AR203" s="12">
        <v>35953156753.738998</v>
      </c>
      <c r="AS203" s="12">
        <v>37253739511.127296</v>
      </c>
      <c r="AT203" s="12">
        <v>40395116581.4832</v>
      </c>
      <c r="AU203" s="12">
        <v>46065502702.581703</v>
      </c>
      <c r="AV203" s="12">
        <v>57806384143.166</v>
      </c>
      <c r="AW203" s="12">
        <v>74973656851.807602</v>
      </c>
      <c r="AX203" s="12">
        <v>98454380120.076096</v>
      </c>
      <c r="AY203" s="12">
        <v>122023735992.70599</v>
      </c>
      <c r="AZ203" s="12">
        <v>174588782938.58301</v>
      </c>
      <c r="BA203" s="12">
        <v>214317202478.26599</v>
      </c>
      <c r="BB203" s="12">
        <v>174102268534.84</v>
      </c>
      <c r="BC203" s="12">
        <v>170029359010.66699</v>
      </c>
      <c r="BD203" s="12">
        <v>192613579705.88501</v>
      </c>
      <c r="BE203" s="12">
        <v>179132893143.41699</v>
      </c>
      <c r="BF203" s="12">
        <v>189789258566.24399</v>
      </c>
      <c r="BG203" s="12">
        <v>199713780259.31799</v>
      </c>
      <c r="BH203" s="12">
        <v>177883883008.74701</v>
      </c>
      <c r="BI203" s="12">
        <v>185287630540.431</v>
      </c>
      <c r="BJ203" s="12">
        <v>210147163769.84799</v>
      </c>
      <c r="BK203" s="12">
        <v>243316029944.056</v>
      </c>
      <c r="BL203" s="12">
        <v>251017797625.017</v>
      </c>
      <c r="BM203" s="12">
        <v>251362514349.69699</v>
      </c>
      <c r="BN203" s="12">
        <v>285810244501.93298</v>
      </c>
      <c r="BO203" s="12">
        <v>300691354864.85498</v>
      </c>
    </row>
    <row r="204" spans="1:67" x14ac:dyDescent="0.2">
      <c r="A204" s="12" t="s">
        <v>145</v>
      </c>
      <c r="B204" s="12" t="s">
        <v>144</v>
      </c>
      <c r="C204" s="12" t="s">
        <v>978</v>
      </c>
      <c r="D204" s="12" t="s">
        <v>979</v>
      </c>
      <c r="AG204" s="12">
        <v>554828660436.13696</v>
      </c>
      <c r="AH204" s="12">
        <v>506631299734.74799</v>
      </c>
      <c r="AI204" s="12">
        <v>517014446227.92902</v>
      </c>
      <c r="AJ204" s="12">
        <v>517962962962.96301</v>
      </c>
      <c r="AK204" s="12">
        <v>460290556900.72601</v>
      </c>
      <c r="AL204" s="12">
        <v>435083713850.83698</v>
      </c>
      <c r="AM204" s="12">
        <v>395077301248.46399</v>
      </c>
      <c r="AN204" s="12">
        <v>395537185734.854</v>
      </c>
      <c r="AO204" s="12">
        <v>391724890744.49799</v>
      </c>
      <c r="AP204" s="12">
        <v>404928954191.87598</v>
      </c>
      <c r="AQ204" s="12">
        <v>270955486862.44199</v>
      </c>
      <c r="AR204" s="12">
        <v>195907128350.93399</v>
      </c>
      <c r="AS204" s="12">
        <v>259710142196.94299</v>
      </c>
      <c r="AT204" s="12">
        <v>306602070620.5</v>
      </c>
      <c r="AU204" s="12">
        <v>345470494417.86298</v>
      </c>
      <c r="AV204" s="12">
        <v>430347420184.88501</v>
      </c>
      <c r="AW204" s="12">
        <v>591016690732.38501</v>
      </c>
      <c r="AX204" s="12">
        <v>764015973481.10999</v>
      </c>
      <c r="AY204" s="12">
        <v>989932071352.54297</v>
      </c>
      <c r="AZ204" s="12">
        <v>1299703478481.6499</v>
      </c>
      <c r="BA204" s="12">
        <v>1660848058303.1101</v>
      </c>
      <c r="BB204" s="12">
        <v>1222645900055.7</v>
      </c>
      <c r="BC204" s="12">
        <v>1524916715223.95</v>
      </c>
      <c r="BD204" s="12">
        <v>2045922753398.04</v>
      </c>
      <c r="BE204" s="12">
        <v>2208293553878.4199</v>
      </c>
      <c r="BF204" s="12">
        <v>2292470078346.2202</v>
      </c>
      <c r="BG204" s="12">
        <v>2059241589895.01</v>
      </c>
      <c r="BH204" s="12">
        <v>1363482182197.71</v>
      </c>
      <c r="BI204" s="12">
        <v>1276786350881.1399</v>
      </c>
      <c r="BJ204" s="12">
        <v>1574199360089</v>
      </c>
      <c r="BK204" s="12">
        <v>1657328773461.3101</v>
      </c>
      <c r="BL204" s="12">
        <v>1693115002708.3201</v>
      </c>
      <c r="BM204" s="12">
        <v>1493075894362.1399</v>
      </c>
      <c r="BN204" s="12">
        <v>1836892075547.52</v>
      </c>
      <c r="BO204" s="12">
        <v>2240422427458.5801</v>
      </c>
    </row>
    <row r="205" spans="1:67" x14ac:dyDescent="0.2">
      <c r="A205" s="12" t="s">
        <v>135</v>
      </c>
      <c r="B205" s="12" t="s">
        <v>134</v>
      </c>
      <c r="C205" s="12" t="s">
        <v>978</v>
      </c>
      <c r="D205" s="12" t="s">
        <v>979</v>
      </c>
      <c r="E205" s="12">
        <v>119000024</v>
      </c>
      <c r="F205" s="12">
        <v>122000016</v>
      </c>
      <c r="G205" s="12">
        <v>125000008</v>
      </c>
      <c r="H205" s="12">
        <v>128000000</v>
      </c>
      <c r="I205" s="12">
        <v>129999994</v>
      </c>
      <c r="J205" s="12">
        <v>148799980</v>
      </c>
      <c r="K205" s="12">
        <v>124525702.857143</v>
      </c>
      <c r="L205" s="12">
        <v>159560018</v>
      </c>
      <c r="M205" s="12">
        <v>172200018</v>
      </c>
      <c r="N205" s="12">
        <v>188700037</v>
      </c>
      <c r="O205" s="12">
        <v>219900006</v>
      </c>
      <c r="P205" s="12">
        <v>222952504.40606999</v>
      </c>
      <c r="Q205" s="12">
        <v>246457838.33668101</v>
      </c>
      <c r="R205" s="12">
        <v>290746157.14592099</v>
      </c>
      <c r="S205" s="12">
        <v>308458423.18385398</v>
      </c>
      <c r="T205" s="12">
        <v>571863500.24865794</v>
      </c>
      <c r="U205" s="12">
        <v>637753853.12551999</v>
      </c>
      <c r="V205" s="12">
        <v>746650613.03479397</v>
      </c>
      <c r="W205" s="12">
        <v>905709076.42303002</v>
      </c>
      <c r="X205" s="12">
        <v>1109346130.9526501</v>
      </c>
      <c r="Y205" s="12">
        <v>1254765641.5211599</v>
      </c>
      <c r="Z205" s="12">
        <v>1407062526.91521</v>
      </c>
      <c r="AA205" s="12">
        <v>1407243139.2544999</v>
      </c>
      <c r="AB205" s="12">
        <v>1479687586.94292</v>
      </c>
      <c r="AC205" s="12">
        <v>1587413083.9205999</v>
      </c>
      <c r="AD205" s="12">
        <v>1715626330.5947199</v>
      </c>
      <c r="AE205" s="12">
        <v>1944710683.87148</v>
      </c>
      <c r="AF205" s="12">
        <v>2157432667.6159801</v>
      </c>
      <c r="AG205" s="12">
        <v>2395492686.7816501</v>
      </c>
      <c r="AH205" s="12">
        <v>2405022593.05165</v>
      </c>
      <c r="AI205" s="12">
        <v>2550185679.08109</v>
      </c>
      <c r="AJ205" s="12">
        <v>1911600236.6746099</v>
      </c>
      <c r="AK205" s="12">
        <v>2029026961.5589399</v>
      </c>
      <c r="AL205" s="12">
        <v>1971525711.8351099</v>
      </c>
      <c r="AM205" s="12">
        <v>753636370.45454502</v>
      </c>
      <c r="AN205" s="12">
        <v>1293535193.49248</v>
      </c>
      <c r="AO205" s="12">
        <v>1382334879.4081199</v>
      </c>
      <c r="AP205" s="12">
        <v>1851558197.3108799</v>
      </c>
      <c r="AQ205" s="12">
        <v>1989343546.17594</v>
      </c>
      <c r="AR205" s="12">
        <v>2157240525.9717302</v>
      </c>
      <c r="AS205" s="12">
        <v>2068955252.8354101</v>
      </c>
      <c r="AT205" s="12">
        <v>1966719933.25386</v>
      </c>
      <c r="AU205" s="12">
        <v>1966111528.56793</v>
      </c>
      <c r="AV205" s="12">
        <v>2138354521.0218401</v>
      </c>
      <c r="AW205" s="12">
        <v>2376642785.7698302</v>
      </c>
      <c r="AX205" s="12">
        <v>2933999088.5991402</v>
      </c>
      <c r="AY205" s="12">
        <v>3319974269.10464</v>
      </c>
      <c r="AZ205" s="12">
        <v>4070746222.2669101</v>
      </c>
      <c r="BA205" s="12">
        <v>5180228095.9980297</v>
      </c>
      <c r="BB205" s="12">
        <v>5674899033.27806</v>
      </c>
      <c r="BC205" s="12">
        <v>6125216482.2683897</v>
      </c>
      <c r="BD205" s="12">
        <v>6885492660.8324203</v>
      </c>
      <c r="BE205" s="12">
        <v>7655465589.7466898</v>
      </c>
      <c r="BF205" s="12">
        <v>7820741499.0813999</v>
      </c>
      <c r="BG205" s="12">
        <v>8239766320.0953999</v>
      </c>
      <c r="BH205" s="12">
        <v>8544621756.79813</v>
      </c>
      <c r="BI205" s="12">
        <v>8696069807.4249496</v>
      </c>
      <c r="BJ205" s="12">
        <v>9252834120.3935795</v>
      </c>
      <c r="BK205" s="12">
        <v>9636254325.0244408</v>
      </c>
      <c r="BL205" s="12">
        <v>10346326599.028999</v>
      </c>
      <c r="BM205" s="12">
        <v>10172303393.061199</v>
      </c>
      <c r="BN205" s="12">
        <v>11054517345.710899</v>
      </c>
      <c r="BO205" s="12">
        <v>13311487445.0686</v>
      </c>
    </row>
    <row r="206" spans="1:67" x14ac:dyDescent="0.2">
      <c r="A206" s="12" t="s">
        <v>1076</v>
      </c>
      <c r="B206" s="12" t="s">
        <v>1077</v>
      </c>
      <c r="C206" s="12" t="s">
        <v>978</v>
      </c>
      <c r="D206" s="12" t="s">
        <v>979</v>
      </c>
      <c r="E206" s="12">
        <v>47147779567.029198</v>
      </c>
      <c r="F206" s="12">
        <v>50307314798.8582</v>
      </c>
      <c r="G206" s="12">
        <v>53695416445.608101</v>
      </c>
      <c r="H206" s="12">
        <v>60396894530.4729</v>
      </c>
      <c r="I206" s="12">
        <v>69145880249.901093</v>
      </c>
      <c r="J206" s="12">
        <v>74260412305.024902</v>
      </c>
      <c r="K206" s="12">
        <v>62444760597.971802</v>
      </c>
      <c r="L206" s="12">
        <v>68699960050.540703</v>
      </c>
      <c r="M206" s="12">
        <v>72004816964.9832</v>
      </c>
      <c r="N206" s="12">
        <v>79157009447.017395</v>
      </c>
      <c r="O206" s="12">
        <v>85695623709.061295</v>
      </c>
      <c r="P206" s="12">
        <v>91151981089.537003</v>
      </c>
      <c r="Q206" s="12">
        <v>91635981395.206207</v>
      </c>
      <c r="R206" s="12">
        <v>104761572323.097</v>
      </c>
      <c r="S206" s="12">
        <v>126910557742.55901</v>
      </c>
      <c r="T206" s="12">
        <v>135841794095.403</v>
      </c>
      <c r="U206" s="12">
        <v>132583348018.062</v>
      </c>
      <c r="V206" s="12">
        <v>153524522489.129</v>
      </c>
      <c r="W206" s="12">
        <v>174688741592.875</v>
      </c>
      <c r="X206" s="12">
        <v>195656039708.793</v>
      </c>
      <c r="Y206" s="12">
        <v>235917480422.41599</v>
      </c>
      <c r="Z206" s="12">
        <v>250092890361.87399</v>
      </c>
      <c r="AA206" s="12">
        <v>258743965953.36301</v>
      </c>
      <c r="AB206" s="12">
        <v>273899513562.95401</v>
      </c>
      <c r="AC206" s="12">
        <v>272624713224.39001</v>
      </c>
      <c r="AD206" s="12">
        <v>296454642420.47101</v>
      </c>
      <c r="AE206" s="12">
        <v>313975467118.073</v>
      </c>
      <c r="AF206" s="12">
        <v>348624425273.32397</v>
      </c>
      <c r="AG206" s="12">
        <v>374608450728.32001</v>
      </c>
      <c r="AH206" s="12">
        <v>378041404290.77802</v>
      </c>
      <c r="AI206" s="12">
        <v>406989688413.06598</v>
      </c>
      <c r="AJ206" s="12">
        <v>362086643424.48499</v>
      </c>
      <c r="AK206" s="12">
        <v>384546459006.51398</v>
      </c>
      <c r="AL206" s="12">
        <v>380914811392.98999</v>
      </c>
      <c r="AM206" s="12">
        <v>432114259474.23102</v>
      </c>
      <c r="AN206" s="12">
        <v>479616531671.04401</v>
      </c>
      <c r="AO206" s="12">
        <v>524715251563.74597</v>
      </c>
      <c r="AP206" s="12">
        <v>550444437662.75903</v>
      </c>
      <c r="AQ206" s="12">
        <v>558153189409.89795</v>
      </c>
      <c r="AR206" s="12">
        <v>598033332783.54797</v>
      </c>
      <c r="AS206" s="12">
        <v>647686504213.63501</v>
      </c>
      <c r="AT206" s="12">
        <v>663315346921.86902</v>
      </c>
      <c r="AU206" s="12">
        <v>695416323416.85596</v>
      </c>
      <c r="AV206" s="12">
        <v>811619434178.71497</v>
      </c>
      <c r="AW206" s="12">
        <v>941543875013.26196</v>
      </c>
      <c r="AX206" s="12">
        <v>1075732708524.25</v>
      </c>
      <c r="AY206" s="12">
        <v>1220695824211.1799</v>
      </c>
      <c r="AZ206" s="12">
        <v>1535949630979.4099</v>
      </c>
      <c r="BA206" s="12">
        <v>1559598183074.45</v>
      </c>
      <c r="BB206" s="12">
        <v>1702620252614.52</v>
      </c>
      <c r="BC206" s="12">
        <v>2082235871786.71</v>
      </c>
      <c r="BD206" s="12">
        <v>2293960102339.3999</v>
      </c>
      <c r="BE206" s="12">
        <v>2327825468877.1602</v>
      </c>
      <c r="BF206" s="12">
        <v>2389729692833</v>
      </c>
      <c r="BG206" s="12">
        <v>2614764107326.5801</v>
      </c>
      <c r="BH206" s="12">
        <v>2733399604482.9702</v>
      </c>
      <c r="BI206" s="12">
        <v>3010885154564.8101</v>
      </c>
      <c r="BJ206" s="12">
        <v>3433943646490.54</v>
      </c>
      <c r="BK206" s="12">
        <v>3534083235323.8799</v>
      </c>
      <c r="BL206" s="12">
        <v>3658216510053.27</v>
      </c>
      <c r="BM206" s="12">
        <v>3489923527067.6699</v>
      </c>
      <c r="BN206" s="12">
        <v>4062850047299.3901</v>
      </c>
      <c r="BO206" s="12">
        <v>4390347563465.9102</v>
      </c>
    </row>
    <row r="207" spans="1:67" x14ac:dyDescent="0.2">
      <c r="A207" s="12" t="s">
        <v>75</v>
      </c>
      <c r="B207" s="12" t="s">
        <v>74</v>
      </c>
      <c r="C207" s="12" t="s">
        <v>978</v>
      </c>
      <c r="D207" s="12" t="s">
        <v>979</v>
      </c>
      <c r="M207" s="12">
        <v>4187777711.1111102</v>
      </c>
      <c r="N207" s="12">
        <v>4485777644.4444399</v>
      </c>
      <c r="O207" s="12">
        <v>5377268848.5294399</v>
      </c>
      <c r="P207" s="12">
        <v>7184816838.1731701</v>
      </c>
      <c r="Q207" s="12">
        <v>9664177516.6912498</v>
      </c>
      <c r="R207" s="12">
        <v>14947535415.951599</v>
      </c>
      <c r="S207" s="12">
        <v>45412971909.379402</v>
      </c>
      <c r="T207" s="12">
        <v>46773144158.199898</v>
      </c>
      <c r="U207" s="12">
        <v>64005623870.322701</v>
      </c>
      <c r="V207" s="12">
        <v>74189100114.319305</v>
      </c>
      <c r="W207" s="12">
        <v>80266629495.7603</v>
      </c>
      <c r="X207" s="12">
        <v>111858494946.854</v>
      </c>
      <c r="Y207" s="12">
        <v>164539580965.98401</v>
      </c>
      <c r="Z207" s="12">
        <v>184291452896.793</v>
      </c>
      <c r="AA207" s="12">
        <v>153240288166.745</v>
      </c>
      <c r="AB207" s="12">
        <v>129171602025.147</v>
      </c>
      <c r="AC207" s="12">
        <v>119624918956.209</v>
      </c>
      <c r="AD207" s="12">
        <v>103897892810.979</v>
      </c>
      <c r="AE207" s="12">
        <v>86962013010.555206</v>
      </c>
      <c r="AF207" s="12">
        <v>85695941760.045105</v>
      </c>
      <c r="AG207" s="12">
        <v>88256162068.972504</v>
      </c>
      <c r="AH207" s="12">
        <v>95344352823.696899</v>
      </c>
      <c r="AI207" s="12">
        <v>117630261604.888</v>
      </c>
      <c r="AJ207" s="12">
        <v>132223257865.578</v>
      </c>
      <c r="AK207" s="12">
        <v>137087867284.342</v>
      </c>
      <c r="AL207" s="12">
        <v>132967891655.205</v>
      </c>
      <c r="AM207" s="12">
        <v>135174876355.65601</v>
      </c>
      <c r="AN207" s="12">
        <v>143343025756.29901</v>
      </c>
      <c r="AO207" s="12">
        <v>158662377388.98901</v>
      </c>
      <c r="AP207" s="12">
        <v>165963594803.63599</v>
      </c>
      <c r="AQ207" s="12">
        <v>146775428759.27802</v>
      </c>
      <c r="AR207" s="12">
        <v>161717040000</v>
      </c>
      <c r="AS207" s="12">
        <v>189514910222.66699</v>
      </c>
      <c r="AT207" s="12">
        <v>184137517724.86301</v>
      </c>
      <c r="AU207" s="12">
        <v>189605920240.51599</v>
      </c>
      <c r="AV207" s="12">
        <v>215807655244.42401</v>
      </c>
      <c r="AW207" s="12">
        <v>258742263029.008</v>
      </c>
      <c r="AX207" s="12">
        <v>328459700124.06403</v>
      </c>
      <c r="AY207" s="12">
        <v>376900135720.729</v>
      </c>
      <c r="AZ207" s="12">
        <v>415964583059.20502</v>
      </c>
      <c r="BA207" s="12">
        <v>519796738631.12799</v>
      </c>
      <c r="BB207" s="12">
        <v>429097899279.013</v>
      </c>
      <c r="BC207" s="12">
        <v>528207298529.87201</v>
      </c>
      <c r="BD207" s="12">
        <v>676634577273.04504</v>
      </c>
      <c r="BE207" s="12">
        <v>741849984943.25598</v>
      </c>
      <c r="BF207" s="12">
        <v>753864543430.24805</v>
      </c>
      <c r="BG207" s="12">
        <v>766605946720.427</v>
      </c>
      <c r="BH207" s="12">
        <v>669484381328.89099</v>
      </c>
      <c r="BI207" s="12">
        <v>665999879694.19202</v>
      </c>
      <c r="BJ207" s="12">
        <v>714994694991.651</v>
      </c>
      <c r="BK207" s="12">
        <v>846583791842.62903</v>
      </c>
      <c r="BL207" s="12">
        <v>838564705295.13904</v>
      </c>
      <c r="BM207" s="12">
        <v>734271183944.98901</v>
      </c>
      <c r="BN207" s="12">
        <v>874156115900.13098</v>
      </c>
      <c r="BO207" s="12">
        <v>1108571517285.3799</v>
      </c>
    </row>
    <row r="208" spans="1:67" x14ac:dyDescent="0.2">
      <c r="A208" s="12" t="s">
        <v>325</v>
      </c>
      <c r="B208" s="12" t="s">
        <v>324</v>
      </c>
      <c r="C208" s="12" t="s">
        <v>978</v>
      </c>
      <c r="D208" s="12" t="s">
        <v>979</v>
      </c>
      <c r="E208" s="12">
        <v>1127011494.2528701</v>
      </c>
      <c r="F208" s="12">
        <v>1223563218.3908</v>
      </c>
      <c r="G208" s="12">
        <v>1329022988.5057499</v>
      </c>
      <c r="H208" s="12">
        <v>1352011494.2528701</v>
      </c>
      <c r="I208" s="12">
        <v>1389080459.7701099</v>
      </c>
      <c r="J208" s="12">
        <v>1447701149.4252901</v>
      </c>
      <c r="K208" s="12">
        <v>1485344827.58621</v>
      </c>
      <c r="L208" s="12">
        <v>1608333333.3333299</v>
      </c>
      <c r="M208" s="12">
        <v>1678735632.1839099</v>
      </c>
      <c r="N208" s="12">
        <v>1848563218.3908</v>
      </c>
      <c r="O208" s="12">
        <v>2101436781.6092</v>
      </c>
      <c r="P208" s="12">
        <v>2289655172.4137902</v>
      </c>
      <c r="Q208" s="12">
        <v>2484482758.6206899</v>
      </c>
      <c r="R208" s="12">
        <v>3079022988.5057502</v>
      </c>
      <c r="S208" s="12">
        <v>3961206896.5517201</v>
      </c>
      <c r="T208" s="12">
        <v>4825862068.9655199</v>
      </c>
      <c r="U208" s="12">
        <v>6016666666.6666698</v>
      </c>
      <c r="V208" s="12">
        <v>7503448275.8620701</v>
      </c>
      <c r="W208" s="12">
        <v>8138461538.4615402</v>
      </c>
      <c r="X208" s="12">
        <v>8421678321.6783199</v>
      </c>
      <c r="Y208" s="12">
        <v>8951800000</v>
      </c>
      <c r="Z208" s="12">
        <v>10751162790.697701</v>
      </c>
      <c r="AA208" s="12">
        <v>8735294117.6470604</v>
      </c>
      <c r="AB208" s="12">
        <v>8230153846.1538496</v>
      </c>
      <c r="AC208" s="12">
        <v>10447615384.6154</v>
      </c>
      <c r="AD208" s="12">
        <v>8075347222.2222204</v>
      </c>
      <c r="AE208" s="12">
        <v>10092200000</v>
      </c>
      <c r="AF208" s="12">
        <v>12093333333.3333</v>
      </c>
      <c r="AG208" s="12">
        <v>14372555555.555599</v>
      </c>
      <c r="AH208" s="12">
        <v>21408111111.111099</v>
      </c>
      <c r="AI208" s="12">
        <v>33641222222.222198</v>
      </c>
      <c r="AJ208" s="12">
        <v>44168918918.9189</v>
      </c>
      <c r="AK208" s="12">
        <v>7031909434.27211</v>
      </c>
      <c r="AL208" s="12">
        <v>8881005435.8060207</v>
      </c>
      <c r="AM208" s="12">
        <v>12793794737.042</v>
      </c>
      <c r="AN208" s="12">
        <v>13830363899.9163</v>
      </c>
      <c r="AO208" s="12">
        <v>9018300724.6608601</v>
      </c>
      <c r="AP208" s="12">
        <v>11681175864.338301</v>
      </c>
      <c r="AQ208" s="12">
        <v>11250221536.7484</v>
      </c>
      <c r="AR208" s="12">
        <v>10682028339.6898</v>
      </c>
      <c r="AS208" s="12">
        <v>12257299147.2936</v>
      </c>
      <c r="AT208" s="12">
        <v>15716361792.1926</v>
      </c>
      <c r="AU208" s="12">
        <v>18137128388.3606</v>
      </c>
      <c r="AV208" s="12">
        <v>21355298459.595501</v>
      </c>
      <c r="AW208" s="12">
        <v>26646007250.731899</v>
      </c>
      <c r="AX208" s="12">
        <v>35182711987.973999</v>
      </c>
      <c r="AY208" s="12">
        <v>45263831634.149696</v>
      </c>
      <c r="AZ208" s="12">
        <v>59440139774.812798</v>
      </c>
      <c r="BA208" s="12">
        <v>64833083257.143097</v>
      </c>
      <c r="BB208" s="12">
        <v>51621044076.923103</v>
      </c>
      <c r="BC208" s="12">
        <v>58962978034.482803</v>
      </c>
      <c r="BD208" s="12">
        <v>55018567210.526299</v>
      </c>
      <c r="BE208" s="12">
        <v>37632919966.666702</v>
      </c>
      <c r="BF208" s="12">
        <v>43024018082.191803</v>
      </c>
      <c r="BG208" s="12">
        <v>49516748617.977501</v>
      </c>
      <c r="BH208" s="12">
        <v>51726758676.7677</v>
      </c>
      <c r="BI208" s="12">
        <v>42630376000</v>
      </c>
      <c r="BJ208" s="12">
        <v>41283617976.190498</v>
      </c>
      <c r="BK208" s="12">
        <v>32333780383.2924</v>
      </c>
      <c r="BL208" s="12">
        <v>32338079165.289299</v>
      </c>
      <c r="BM208" s="12">
        <v>27034593750</v>
      </c>
      <c r="BN208" s="12">
        <v>34229513773.970798</v>
      </c>
      <c r="BO208" s="12">
        <v>51662241775.062897</v>
      </c>
    </row>
    <row r="209" spans="1:67" x14ac:dyDescent="0.2">
      <c r="A209" s="12" t="s">
        <v>59</v>
      </c>
      <c r="B209" s="12" t="s">
        <v>58</v>
      </c>
      <c r="C209" s="12" t="s">
        <v>978</v>
      </c>
      <c r="D209" s="12" t="s">
        <v>979</v>
      </c>
      <c r="E209" s="12">
        <v>1003692370.46869</v>
      </c>
      <c r="F209" s="12">
        <v>1058975256.97025</v>
      </c>
      <c r="G209" s="12">
        <v>1085475790.59112</v>
      </c>
      <c r="H209" s="12">
        <v>1122139861.67805</v>
      </c>
      <c r="I209" s="12">
        <v>1188930645.3442299</v>
      </c>
      <c r="J209" s="12">
        <v>1210058228.1711199</v>
      </c>
      <c r="K209" s="12">
        <v>1246908185.9634299</v>
      </c>
      <c r="L209" s="12">
        <v>1246480765.97984</v>
      </c>
      <c r="M209" s="12">
        <v>1309384861.92219</v>
      </c>
      <c r="N209" s="12">
        <v>1245234931.4323299</v>
      </c>
      <c r="O209" s="12">
        <v>1297407654.9283199</v>
      </c>
      <c r="P209" s="12">
        <v>1339549032.8378201</v>
      </c>
      <c r="Q209" s="12">
        <v>1620857103.53492</v>
      </c>
      <c r="R209" s="12">
        <v>1863398590.4556</v>
      </c>
      <c r="S209" s="12">
        <v>2099325228.9565101</v>
      </c>
      <c r="T209" s="12">
        <v>2830388404.8976998</v>
      </c>
      <c r="U209" s="12">
        <v>2869777884.4516602</v>
      </c>
      <c r="V209" s="12">
        <v>2938046462.7097998</v>
      </c>
      <c r="W209" s="12">
        <v>3280354920.8516002</v>
      </c>
      <c r="X209" s="12">
        <v>4084877822.91679</v>
      </c>
      <c r="Y209" s="12">
        <v>4510108290.6957102</v>
      </c>
      <c r="Z209" s="12">
        <v>4095892780.58289</v>
      </c>
      <c r="AA209" s="12">
        <v>4013951442.6708102</v>
      </c>
      <c r="AB209" s="12">
        <v>3569356124.9315901</v>
      </c>
      <c r="AC209" s="12">
        <v>3485165431.7135401</v>
      </c>
      <c r="AD209" s="12">
        <v>3818944917.5671301</v>
      </c>
      <c r="AE209" s="12">
        <v>5392093445.5105305</v>
      </c>
      <c r="AF209" s="12">
        <v>6487353102.8148298</v>
      </c>
      <c r="AG209" s="12">
        <v>6418419388.6349897</v>
      </c>
      <c r="AH209" s="12">
        <v>6366039372.5368299</v>
      </c>
      <c r="AI209" s="12">
        <v>7390967360.4212103</v>
      </c>
      <c r="AJ209" s="12">
        <v>7255210469.5174303</v>
      </c>
      <c r="AK209" s="12">
        <v>7769817839.95644</v>
      </c>
      <c r="AL209" s="12">
        <v>7367986241.2186899</v>
      </c>
      <c r="AM209" s="12">
        <v>5034588195.5580597</v>
      </c>
      <c r="AN209" s="12">
        <v>6326342633.4034004</v>
      </c>
      <c r="AO209" s="12">
        <v>6559712165.9650803</v>
      </c>
      <c r="AP209" s="12">
        <v>6041478725.9044304</v>
      </c>
      <c r="AQ209" s="12">
        <v>6505607909.0532398</v>
      </c>
      <c r="AR209" s="12">
        <v>6592834932.8087597</v>
      </c>
      <c r="AS209" s="12">
        <v>6013185003.9752502</v>
      </c>
      <c r="AT209" s="12">
        <v>6507824829.2625399</v>
      </c>
      <c r="AU209" s="12">
        <v>7006402319.7585602</v>
      </c>
      <c r="AV209" s="12">
        <v>8768721563.1821098</v>
      </c>
      <c r="AW209" s="12">
        <v>10076816666.6196</v>
      </c>
      <c r="AX209" s="12">
        <v>11009033437.938999</v>
      </c>
      <c r="AY209" s="12">
        <v>11697918243.0035</v>
      </c>
      <c r="AZ209" s="12">
        <v>13994218412.961901</v>
      </c>
      <c r="BA209" s="12">
        <v>16853989627.548</v>
      </c>
      <c r="BB209" s="12">
        <v>16145867494.9405</v>
      </c>
      <c r="BC209" s="12">
        <v>16121315909.0758</v>
      </c>
      <c r="BD209" s="12">
        <v>17814283639.311901</v>
      </c>
      <c r="BE209" s="12">
        <v>17660870411.523499</v>
      </c>
      <c r="BF209" s="12">
        <v>18918667724.881699</v>
      </c>
      <c r="BG209" s="12">
        <v>19797253440.267899</v>
      </c>
      <c r="BH209" s="12">
        <v>17774766696.1759</v>
      </c>
      <c r="BI209" s="12">
        <v>19040312333.186401</v>
      </c>
      <c r="BJ209" s="12">
        <v>20996562943.5979</v>
      </c>
      <c r="BK209" s="12">
        <v>23116701556.1381</v>
      </c>
      <c r="BL209" s="12">
        <v>23403995992.135399</v>
      </c>
      <c r="BM209" s="12">
        <v>24530513037.751801</v>
      </c>
      <c r="BN209" s="12">
        <v>27569136729.902302</v>
      </c>
      <c r="BO209" s="12">
        <v>27684264748.232399</v>
      </c>
    </row>
    <row r="210" spans="1:67" x14ac:dyDescent="0.2">
      <c r="A210" s="12" t="s">
        <v>193</v>
      </c>
      <c r="B210" s="12" t="s">
        <v>192</v>
      </c>
      <c r="C210" s="12" t="s">
        <v>978</v>
      </c>
      <c r="D210" s="12" t="s">
        <v>979</v>
      </c>
      <c r="E210" s="12">
        <v>704751700.30249405</v>
      </c>
      <c r="F210" s="12">
        <v>764629788.12368906</v>
      </c>
      <c r="G210" s="12">
        <v>826239211.81751096</v>
      </c>
      <c r="H210" s="12">
        <v>917608012.49175203</v>
      </c>
      <c r="I210" s="12">
        <v>894153311.42485702</v>
      </c>
      <c r="J210" s="12">
        <v>974644096.14467394</v>
      </c>
      <c r="K210" s="12">
        <v>1096425608.0908899</v>
      </c>
      <c r="L210" s="12">
        <v>1238035815.7858601</v>
      </c>
      <c r="M210" s="12">
        <v>1425706091.0355999</v>
      </c>
      <c r="N210" s="12">
        <v>1659893767.8441899</v>
      </c>
      <c r="O210" s="12">
        <v>1920574150.17542</v>
      </c>
      <c r="P210" s="12">
        <v>2263785443.6168799</v>
      </c>
      <c r="Q210" s="12">
        <v>2721440980.7585101</v>
      </c>
      <c r="R210" s="12">
        <v>3696213333.3333302</v>
      </c>
      <c r="S210" s="12">
        <v>5221534955.6441803</v>
      </c>
      <c r="T210" s="12">
        <v>5633673929.9930201</v>
      </c>
      <c r="U210" s="12">
        <v>6327077974.1070299</v>
      </c>
      <c r="V210" s="12">
        <v>6618585073.6603498</v>
      </c>
      <c r="W210" s="12">
        <v>7517176354.8413496</v>
      </c>
      <c r="X210" s="12">
        <v>9296921723.83465</v>
      </c>
      <c r="Y210" s="12">
        <v>11896256782.8566</v>
      </c>
      <c r="Z210" s="12">
        <v>14175228843.639099</v>
      </c>
      <c r="AA210" s="12">
        <v>16084252378.473</v>
      </c>
      <c r="AB210" s="12">
        <v>17784112149.5327</v>
      </c>
      <c r="AC210" s="12">
        <v>19749361097.965</v>
      </c>
      <c r="AD210" s="12">
        <v>19156532745.7691</v>
      </c>
      <c r="AE210" s="12">
        <v>18586746056.997398</v>
      </c>
      <c r="AF210" s="12">
        <v>20919215578.212502</v>
      </c>
      <c r="AG210" s="12">
        <v>25371462488.1292</v>
      </c>
      <c r="AH210" s="12">
        <v>30465364738.620602</v>
      </c>
      <c r="AI210" s="12">
        <v>36144336768.702301</v>
      </c>
      <c r="AJ210" s="12">
        <v>45466164978.292297</v>
      </c>
      <c r="AK210" s="12">
        <v>52131320032.8797</v>
      </c>
      <c r="AL210" s="12">
        <v>60603815716.265297</v>
      </c>
      <c r="AM210" s="12">
        <v>73688724431.141205</v>
      </c>
      <c r="AN210" s="12">
        <v>87812540788.429306</v>
      </c>
      <c r="AO210" s="12">
        <v>96293086513.087204</v>
      </c>
      <c r="AP210" s="12">
        <v>100123787215.299</v>
      </c>
      <c r="AQ210" s="12">
        <v>85728207781.778503</v>
      </c>
      <c r="AR210" s="12">
        <v>86286849754.890503</v>
      </c>
      <c r="AS210" s="12">
        <v>96076539925.740906</v>
      </c>
      <c r="AT210" s="12">
        <v>89793790669.651505</v>
      </c>
      <c r="AU210" s="12">
        <v>92538372869.694199</v>
      </c>
      <c r="AV210" s="12">
        <v>97646401095.636902</v>
      </c>
      <c r="AW210" s="12">
        <v>115033593101.049</v>
      </c>
      <c r="AX210" s="12">
        <v>127807848728.39799</v>
      </c>
      <c r="AY210" s="12">
        <v>148627286361.35101</v>
      </c>
      <c r="AZ210" s="12">
        <v>180941701357.97</v>
      </c>
      <c r="BA210" s="12">
        <v>193617323539.203</v>
      </c>
      <c r="BB210" s="12">
        <v>194150283771.56601</v>
      </c>
      <c r="BC210" s="12">
        <v>239807980591.23999</v>
      </c>
      <c r="BD210" s="12">
        <v>279356499090.45801</v>
      </c>
      <c r="BE210" s="12">
        <v>295092888076.58899</v>
      </c>
      <c r="BF210" s="12">
        <v>307576360584.992</v>
      </c>
      <c r="BG210" s="12">
        <v>314863580758.45502</v>
      </c>
      <c r="BH210" s="12">
        <v>307998545269.39801</v>
      </c>
      <c r="BI210" s="12">
        <v>319030057631.08899</v>
      </c>
      <c r="BJ210" s="12">
        <v>343272878686.388</v>
      </c>
      <c r="BK210" s="12">
        <v>376869492498.00897</v>
      </c>
      <c r="BL210" s="12">
        <v>376837580397.57898</v>
      </c>
      <c r="BM210" s="12">
        <v>348392090695.21698</v>
      </c>
      <c r="BN210" s="12">
        <v>423797100521.55499</v>
      </c>
      <c r="BO210" s="12">
        <v>466788426791.966</v>
      </c>
    </row>
    <row r="211" spans="1:67" x14ac:dyDescent="0.2">
      <c r="A211" s="12" t="s">
        <v>375</v>
      </c>
      <c r="B211" s="12" t="s">
        <v>374</v>
      </c>
      <c r="C211" s="12" t="s">
        <v>978</v>
      </c>
      <c r="D211" s="12" t="s">
        <v>979</v>
      </c>
      <c r="L211" s="12">
        <v>25203524.032563802</v>
      </c>
      <c r="M211" s="12">
        <v>28084252.758274801</v>
      </c>
      <c r="N211" s="12">
        <v>28606411.398040999</v>
      </c>
      <c r="P211" s="12">
        <v>50056882.821387902</v>
      </c>
      <c r="Q211" s="12">
        <v>40606712.050639004</v>
      </c>
      <c r="R211" s="12">
        <v>55272108.843537398</v>
      </c>
      <c r="S211" s="12">
        <v>84539332.282562003</v>
      </c>
      <c r="T211" s="12">
        <v>74620320.029533893</v>
      </c>
      <c r="U211" s="12">
        <v>83100834.307934999</v>
      </c>
      <c r="V211" s="12">
        <v>93145283.355714098</v>
      </c>
      <c r="W211" s="12">
        <v>111027427.208358</v>
      </c>
      <c r="X211" s="12">
        <v>151276496.48253301</v>
      </c>
      <c r="Y211" s="12">
        <v>182852106.42700201</v>
      </c>
      <c r="Z211" s="12">
        <v>193750540.63247699</v>
      </c>
      <c r="AA211" s="12">
        <v>192902018.72301999</v>
      </c>
      <c r="AB211" s="12">
        <v>181220399.013372</v>
      </c>
      <c r="AC211" s="12">
        <v>181570474.07779601</v>
      </c>
      <c r="AD211" s="12">
        <v>165524943.64069399</v>
      </c>
      <c r="AE211" s="12">
        <v>147620047.52799299</v>
      </c>
      <c r="AF211" s="12">
        <v>155128542.239474</v>
      </c>
      <c r="AG211" s="12">
        <v>176494393.88970199</v>
      </c>
      <c r="AH211" s="12">
        <v>172882410.67885599</v>
      </c>
      <c r="AI211" s="12">
        <v>214877666.699752</v>
      </c>
      <c r="AJ211" s="12">
        <v>227540473.340087</v>
      </c>
      <c r="AK211" s="12">
        <v>269034595.812985</v>
      </c>
      <c r="AL211" s="12">
        <v>300746361.128739</v>
      </c>
      <c r="AM211" s="12">
        <v>402837005.272596</v>
      </c>
      <c r="AN211" s="12">
        <v>469443201.50327402</v>
      </c>
      <c r="AO211" s="12">
        <v>510586430.19012702</v>
      </c>
      <c r="AP211" s="12">
        <v>526554005.95435703</v>
      </c>
      <c r="AQ211" s="12">
        <v>457579840.22506601</v>
      </c>
      <c r="AR211" s="12">
        <v>488024514.36935902</v>
      </c>
      <c r="AS211" s="12">
        <v>419842674.22765201</v>
      </c>
      <c r="AT211" s="12">
        <v>409508552.979972</v>
      </c>
      <c r="AU211" s="12">
        <v>346406738.88523698</v>
      </c>
      <c r="AV211" s="12">
        <v>417668983.40834898</v>
      </c>
      <c r="AW211" s="12">
        <v>468005318.55197698</v>
      </c>
      <c r="AX211" s="12">
        <v>552864570.22581899</v>
      </c>
      <c r="AY211" s="12">
        <v>617258154.26013303</v>
      </c>
      <c r="AZ211" s="12">
        <v>695295347.62153697</v>
      </c>
      <c r="BA211" s="12">
        <v>776337691.79509795</v>
      </c>
      <c r="BB211" s="12">
        <v>805557562.58005905</v>
      </c>
      <c r="BC211" s="12">
        <v>898133684.89879298</v>
      </c>
      <c r="BD211" s="12">
        <v>1063895360.69907</v>
      </c>
      <c r="BE211" s="12">
        <v>1185215418.25562</v>
      </c>
      <c r="BF211" s="12">
        <v>1285911586.132</v>
      </c>
      <c r="BG211" s="12">
        <v>1335571420.7267599</v>
      </c>
      <c r="BH211" s="12">
        <v>1307909887.55212</v>
      </c>
      <c r="BI211" s="12">
        <v>1379490304.2254</v>
      </c>
      <c r="BJ211" s="12">
        <v>1469789119.0875599</v>
      </c>
      <c r="BK211" s="12">
        <v>1615478393.28614</v>
      </c>
      <c r="BL211" s="12">
        <v>1619155017.3924</v>
      </c>
      <c r="BM211" s="12">
        <v>1536145814.1700699</v>
      </c>
      <c r="BN211" s="12">
        <v>1580303515.4094501</v>
      </c>
      <c r="BO211" s="12">
        <v>1597204340.62902</v>
      </c>
    </row>
    <row r="212" spans="1:67" x14ac:dyDescent="0.2">
      <c r="A212" s="12" t="s">
        <v>291</v>
      </c>
      <c r="B212" s="12" t="s">
        <v>290</v>
      </c>
      <c r="C212" s="12" t="s">
        <v>978</v>
      </c>
      <c r="D212" s="12" t="s">
        <v>979</v>
      </c>
      <c r="E212" s="12">
        <v>322151470.58823502</v>
      </c>
      <c r="F212" s="12">
        <v>327979248.36601299</v>
      </c>
      <c r="G212" s="12">
        <v>342872712.41830099</v>
      </c>
      <c r="H212" s="12">
        <v>348700653.59477103</v>
      </c>
      <c r="I212" s="12">
        <v>372012091.503268</v>
      </c>
      <c r="J212" s="12">
        <v>359523809.52380902</v>
      </c>
      <c r="K212" s="12">
        <v>375630252.10083997</v>
      </c>
      <c r="L212" s="12">
        <v>348895027.624309</v>
      </c>
      <c r="M212" s="12">
        <v>329991956.782713</v>
      </c>
      <c r="N212" s="12">
        <v>408853541.41656703</v>
      </c>
      <c r="O212" s="12">
        <v>434584033.61344498</v>
      </c>
      <c r="P212" s="12">
        <v>419495908.54392302</v>
      </c>
      <c r="Q212" s="12">
        <v>465254431.96004999</v>
      </c>
      <c r="R212" s="12">
        <v>575471323.52941203</v>
      </c>
      <c r="S212" s="12">
        <v>648940350.87719297</v>
      </c>
      <c r="T212" s="12">
        <v>679352433.62831903</v>
      </c>
      <c r="U212" s="12">
        <v>594810152.74034095</v>
      </c>
      <c r="V212" s="12">
        <v>692079581.15183198</v>
      </c>
      <c r="W212" s="12">
        <v>960765042.97994304</v>
      </c>
      <c r="X212" s="12">
        <v>1109343235.5723701</v>
      </c>
      <c r="Y212" s="12">
        <v>1100476190.4761901</v>
      </c>
      <c r="Z212" s="12">
        <v>1114926660.9145801</v>
      </c>
      <c r="AA212" s="12">
        <v>1294995964.4874899</v>
      </c>
      <c r="AB212" s="12">
        <v>995278514.58885896</v>
      </c>
      <c r="AC212" s="12">
        <v>1087450199.2031901</v>
      </c>
      <c r="AD212" s="12">
        <v>856890498.62583399</v>
      </c>
      <c r="AE212" s="12">
        <v>490181456.62440997</v>
      </c>
      <c r="AF212" s="12">
        <v>660106321.41703105</v>
      </c>
      <c r="AG212" s="12">
        <v>1055083945.37738</v>
      </c>
      <c r="AH212" s="12">
        <v>932974411.91714203</v>
      </c>
      <c r="AI212" s="12">
        <v>649644097.56612897</v>
      </c>
      <c r="AJ212" s="12">
        <v>780098205.21503603</v>
      </c>
      <c r="AK212" s="12">
        <v>679997997.59711599</v>
      </c>
      <c r="AL212" s="12">
        <v>768812334.80176198</v>
      </c>
      <c r="AM212" s="12">
        <v>911915970.68348396</v>
      </c>
      <c r="AN212" s="12">
        <v>870758739.40678</v>
      </c>
      <c r="AO212" s="12">
        <v>941742152.70989501</v>
      </c>
      <c r="AP212" s="12">
        <v>850218033.62200701</v>
      </c>
      <c r="AQ212" s="12">
        <v>672375927.34714794</v>
      </c>
      <c r="AR212" s="12">
        <v>669384768.87263</v>
      </c>
      <c r="AS212" s="12">
        <v>635874002.19874799</v>
      </c>
      <c r="AT212" s="12">
        <v>1074851475.17873</v>
      </c>
      <c r="AU212" s="12">
        <v>1236235826.58409</v>
      </c>
      <c r="AV212" s="12">
        <v>1369685676.5620301</v>
      </c>
      <c r="AW212" s="12">
        <v>1430217080.66487</v>
      </c>
      <c r="AX212" s="12">
        <v>1627058424.9380901</v>
      </c>
      <c r="AY212" s="12">
        <v>1862116290.5409999</v>
      </c>
      <c r="AZ212" s="12">
        <v>2126679543.58623</v>
      </c>
      <c r="BA212" s="12">
        <v>2451896435.20157</v>
      </c>
      <c r="BB212" s="12">
        <v>2419014960.1996698</v>
      </c>
      <c r="BC212" s="12">
        <v>2578159803.9459701</v>
      </c>
      <c r="BD212" s="12">
        <v>2932274309.3957</v>
      </c>
      <c r="BE212" s="12">
        <v>3789251613.3606601</v>
      </c>
      <c r="BF212" s="12">
        <v>4920343316.8709297</v>
      </c>
      <c r="BG212" s="12">
        <v>5015180725.3416004</v>
      </c>
      <c r="BH212" s="12">
        <v>4252029353.8219099</v>
      </c>
      <c r="BI212" s="12">
        <v>3862721266.0216198</v>
      </c>
      <c r="BJ212" s="12">
        <v>3719443418.2615499</v>
      </c>
      <c r="BK212" s="12">
        <v>4085114387.5560498</v>
      </c>
      <c r="BL212" s="12">
        <v>4076578698.79107</v>
      </c>
      <c r="BM212" s="12">
        <v>4062906265.7332001</v>
      </c>
      <c r="BN212" s="12">
        <v>4249234704.0186601</v>
      </c>
      <c r="BO212" s="12">
        <v>4094563859.4355602</v>
      </c>
    </row>
    <row r="213" spans="1:67" x14ac:dyDescent="0.2">
      <c r="A213" s="12" t="s">
        <v>201</v>
      </c>
      <c r="B213" s="12" t="s">
        <v>200</v>
      </c>
      <c r="C213" s="12" t="s">
        <v>978</v>
      </c>
      <c r="D213" s="12" t="s">
        <v>979</v>
      </c>
      <c r="J213" s="12">
        <v>877720000</v>
      </c>
      <c r="K213" s="12">
        <v>929520000</v>
      </c>
      <c r="L213" s="12">
        <v>976200000</v>
      </c>
      <c r="M213" s="12">
        <v>1009760100</v>
      </c>
      <c r="N213" s="12">
        <v>1049400000</v>
      </c>
      <c r="O213" s="12">
        <v>1132920000</v>
      </c>
      <c r="P213" s="12">
        <v>1186120000</v>
      </c>
      <c r="Q213" s="12">
        <v>1263720000</v>
      </c>
      <c r="R213" s="12">
        <v>1442320000</v>
      </c>
      <c r="S213" s="12">
        <v>1665880000</v>
      </c>
      <c r="T213" s="12">
        <v>1884120100</v>
      </c>
      <c r="U213" s="12">
        <v>2328280100</v>
      </c>
      <c r="V213" s="12">
        <v>2941640100</v>
      </c>
      <c r="W213" s="12">
        <v>3127960000</v>
      </c>
      <c r="X213" s="12">
        <v>3463639900</v>
      </c>
      <c r="Y213" s="12">
        <v>3573959900</v>
      </c>
      <c r="Z213" s="12">
        <v>3437200200</v>
      </c>
      <c r="AA213" s="12">
        <v>3399189100</v>
      </c>
      <c r="AB213" s="12">
        <v>3506347800</v>
      </c>
      <c r="AC213" s="12">
        <v>3661683400</v>
      </c>
      <c r="AD213" s="12">
        <v>3800368600</v>
      </c>
      <c r="AE213" s="12">
        <v>3771663200</v>
      </c>
      <c r="AF213" s="12">
        <v>3958045800</v>
      </c>
      <c r="AG213" s="12">
        <v>4189880000</v>
      </c>
      <c r="AH213" s="12">
        <v>4372215300</v>
      </c>
      <c r="AI213" s="12">
        <v>4817542204</v>
      </c>
      <c r="AJ213" s="12">
        <v>5252342400</v>
      </c>
      <c r="AK213" s="12">
        <v>5813399300</v>
      </c>
      <c r="AL213" s="12">
        <v>6680269200</v>
      </c>
      <c r="AM213" s="12">
        <v>7679384000</v>
      </c>
      <c r="AN213" s="12">
        <v>8921947100</v>
      </c>
      <c r="AO213" s="12">
        <v>9586327800</v>
      </c>
      <c r="AP213" s="12">
        <v>10221705900</v>
      </c>
      <c r="AQ213" s="12">
        <v>10936669900</v>
      </c>
      <c r="AR213" s="12">
        <v>11284197000</v>
      </c>
      <c r="AS213" s="12">
        <v>11784927700</v>
      </c>
      <c r="AT213" s="12">
        <v>12282533600</v>
      </c>
      <c r="AU213" s="12">
        <v>12664190300</v>
      </c>
      <c r="AV213" s="12">
        <v>13243892200</v>
      </c>
      <c r="AW213" s="12">
        <v>13724810900</v>
      </c>
      <c r="AX213" s="12">
        <v>14698000000</v>
      </c>
      <c r="AY213" s="12">
        <v>15999890000</v>
      </c>
      <c r="AZ213" s="12">
        <v>17011750000</v>
      </c>
      <c r="BA213" s="12">
        <v>17986890000</v>
      </c>
      <c r="BB213" s="12">
        <v>17601620000</v>
      </c>
      <c r="BC213" s="12">
        <v>18447920000</v>
      </c>
      <c r="BD213" s="12">
        <v>20283780000</v>
      </c>
      <c r="BE213" s="12">
        <v>21386150000</v>
      </c>
      <c r="BF213" s="12">
        <v>21990960000</v>
      </c>
      <c r="BG213" s="12">
        <v>22593470000</v>
      </c>
      <c r="BH213" s="12">
        <v>23438240000</v>
      </c>
      <c r="BI213" s="12">
        <v>24191430000</v>
      </c>
      <c r="BJ213" s="12">
        <v>24979190000</v>
      </c>
      <c r="BK213" s="12">
        <v>26020850000</v>
      </c>
      <c r="BL213" s="12">
        <v>26881140000</v>
      </c>
      <c r="BM213" s="12">
        <v>24930080000</v>
      </c>
      <c r="BN213" s="12">
        <v>29451240000</v>
      </c>
      <c r="BO213" s="12">
        <v>32488720000</v>
      </c>
    </row>
    <row r="214" spans="1:67" x14ac:dyDescent="0.2">
      <c r="A214" s="12" t="s">
        <v>377</v>
      </c>
      <c r="B214" s="12" t="s">
        <v>376</v>
      </c>
      <c r="C214" s="12" t="s">
        <v>978</v>
      </c>
      <c r="D214" s="12" t="s">
        <v>979</v>
      </c>
      <c r="AR214" s="12">
        <v>1109098657.57511</v>
      </c>
      <c r="AS214" s="12">
        <v>1005159388.24397</v>
      </c>
      <c r="AT214" s="12">
        <v>1077413479.05282</v>
      </c>
      <c r="AU214" s="12">
        <v>1168269230.7692299</v>
      </c>
      <c r="AV214" s="12">
        <v>1464326160.8153999</v>
      </c>
      <c r="AW214" s="12">
        <v>1723750000</v>
      </c>
      <c r="AX214" s="12">
        <v>1785847531.4015701</v>
      </c>
      <c r="AY214" s="12">
        <v>1908167105.7583699</v>
      </c>
      <c r="AZ214" s="12">
        <v>2185874623.5970402</v>
      </c>
      <c r="BA214" s="12">
        <v>2393437820.41892</v>
      </c>
      <c r="BB214" s="12">
        <v>2056126701.86163</v>
      </c>
      <c r="BC214" s="12">
        <v>1881191949.98998</v>
      </c>
      <c r="BD214" s="12">
        <v>1813717694.56092</v>
      </c>
      <c r="BE214" s="12">
        <v>1604701051.1652999</v>
      </c>
      <c r="BF214" s="12">
        <v>1678741201.5731001</v>
      </c>
      <c r="BG214" s="12">
        <v>1673910988.24105</v>
      </c>
      <c r="BH214" s="12">
        <v>1419400403.8278799</v>
      </c>
      <c r="BI214" s="12">
        <v>1468342430.7393</v>
      </c>
      <c r="BJ214" s="12">
        <v>1528621195.4832001</v>
      </c>
      <c r="BK214" s="12">
        <v>1655354303.8699801</v>
      </c>
      <c r="BL214" s="12">
        <v>1616188702.3396399</v>
      </c>
      <c r="BM214" s="12">
        <v>1541247883.99351</v>
      </c>
      <c r="BN214" s="12">
        <v>1855382833.1164999</v>
      </c>
    </row>
    <row r="215" spans="1:67" x14ac:dyDescent="0.2">
      <c r="A215" s="12" t="s">
        <v>329</v>
      </c>
      <c r="B215" s="12" t="s">
        <v>328</v>
      </c>
      <c r="C215" s="12" t="s">
        <v>978</v>
      </c>
      <c r="D215" s="12" t="s">
        <v>979</v>
      </c>
      <c r="E215" s="12">
        <v>180459936.776025</v>
      </c>
      <c r="F215" s="12">
        <v>191659914.37603399</v>
      </c>
      <c r="G215" s="12">
        <v>203531927.54722899</v>
      </c>
      <c r="H215" s="12">
        <v>216145935.94162601</v>
      </c>
      <c r="I215" s="12">
        <v>229529912.668035</v>
      </c>
      <c r="J215" s="12">
        <v>243725898.029641</v>
      </c>
      <c r="K215" s="12">
        <v>257375897.04964101</v>
      </c>
      <c r="L215" s="12">
        <v>271781886.80724502</v>
      </c>
      <c r="M215" s="12">
        <v>286719885.31204599</v>
      </c>
      <c r="N215" s="12">
        <v>306357284.57142901</v>
      </c>
      <c r="O215" s="12">
        <v>322600009.14285702</v>
      </c>
      <c r="P215" s="12">
        <v>331104692.98278803</v>
      </c>
      <c r="Q215" s="12">
        <v>416940943.60774302</v>
      </c>
      <c r="R215" s="12">
        <v>507028428.24166203</v>
      </c>
      <c r="S215" s="12">
        <v>467577432.24781603</v>
      </c>
      <c r="T215" s="12">
        <v>710850226.52899098</v>
      </c>
      <c r="U215" s="12">
        <v>807275808.73709297</v>
      </c>
      <c r="V215" s="12">
        <v>498550873.04347801</v>
      </c>
      <c r="W215" s="12">
        <v>564986059.66850805</v>
      </c>
      <c r="X215" s="12">
        <v>590419855.11810994</v>
      </c>
      <c r="Y215" s="12">
        <v>603592656.822209</v>
      </c>
      <c r="Z215" s="12">
        <v>699112266.83576405</v>
      </c>
      <c r="AA215" s="12">
        <v>774419569.69906604</v>
      </c>
      <c r="AB215" s="12">
        <v>733901365.93535399</v>
      </c>
      <c r="AC215" s="12">
        <v>788307213.43823504</v>
      </c>
      <c r="AD215" s="12">
        <v>876404617.65650105</v>
      </c>
      <c r="AE215" s="12">
        <v>930318705.30133498</v>
      </c>
      <c r="AF215" s="12">
        <v>1009792724.4217499</v>
      </c>
      <c r="AG215" s="12">
        <v>1038291284.49695</v>
      </c>
      <c r="AH215" s="12">
        <v>1092392963.1951001</v>
      </c>
      <c r="AI215" s="12">
        <v>917044228.00846004</v>
      </c>
      <c r="BF215" s="12">
        <v>5836021227.4743605</v>
      </c>
      <c r="BG215" s="12">
        <v>6537360532.6420498</v>
      </c>
      <c r="BH215" s="12">
        <v>6984947145.0936899</v>
      </c>
      <c r="BI215" s="12">
        <v>7390796616.5302896</v>
      </c>
      <c r="BJ215" s="12">
        <v>8252394373.2987499</v>
      </c>
      <c r="BK215" s="12">
        <v>8278212314.4059095</v>
      </c>
      <c r="BL215" s="12">
        <v>9420431258.2466698</v>
      </c>
      <c r="BM215" s="12">
        <v>9204140383.1750698</v>
      </c>
      <c r="BN215" s="12">
        <v>9838711529.4586296</v>
      </c>
      <c r="BO215" s="12">
        <v>10419541202.0382</v>
      </c>
    </row>
    <row r="216" spans="1:67" x14ac:dyDescent="0.2">
      <c r="A216" s="12" t="s">
        <v>103</v>
      </c>
      <c r="B216" s="12" t="s">
        <v>102</v>
      </c>
      <c r="C216" s="12" t="s">
        <v>978</v>
      </c>
      <c r="D216" s="12" t="s">
        <v>979</v>
      </c>
      <c r="AN216" s="12">
        <v>16832598870.056499</v>
      </c>
      <c r="AO216" s="12">
        <v>21818007448.7896</v>
      </c>
      <c r="AP216" s="12">
        <v>25676487999.594101</v>
      </c>
      <c r="AQ216" s="12">
        <v>19457979423.375999</v>
      </c>
      <c r="AR216" s="12">
        <v>19388663551.001202</v>
      </c>
      <c r="AS216" s="12">
        <v>6875845986.5212097</v>
      </c>
      <c r="AT216" s="12">
        <v>12960546471.378201</v>
      </c>
      <c r="AU216" s="12">
        <v>17120906918.3503</v>
      </c>
      <c r="AV216" s="12">
        <v>22482365321.765598</v>
      </c>
      <c r="AW216" s="12">
        <v>26141968161.0924</v>
      </c>
      <c r="AX216" s="12">
        <v>27683225959.246799</v>
      </c>
      <c r="AY216" s="12">
        <v>32482070360.3204</v>
      </c>
      <c r="AZ216" s="12">
        <v>43170990616.4729</v>
      </c>
      <c r="BA216" s="12">
        <v>52194221468.500702</v>
      </c>
      <c r="BB216" s="12">
        <v>45162894380.931801</v>
      </c>
      <c r="BC216" s="12">
        <v>41819468691.825104</v>
      </c>
      <c r="BD216" s="12">
        <v>49258136128.967201</v>
      </c>
      <c r="BE216" s="12">
        <v>43309252921.056702</v>
      </c>
      <c r="BF216" s="12">
        <v>48394239474.676201</v>
      </c>
      <c r="BG216" s="12">
        <v>47062202418.886398</v>
      </c>
      <c r="BH216" s="12">
        <v>39655949731.381599</v>
      </c>
      <c r="BI216" s="12">
        <v>40692661657.283997</v>
      </c>
      <c r="BJ216" s="12">
        <v>44179075778.926697</v>
      </c>
      <c r="BK216" s="12">
        <v>50640662859.498703</v>
      </c>
      <c r="BL216" s="12">
        <v>51514242938.673401</v>
      </c>
      <c r="BM216" s="12">
        <v>53356484591.437798</v>
      </c>
      <c r="BN216" s="12">
        <v>63101069561.219299</v>
      </c>
      <c r="BO216" s="12">
        <v>63563401043.504402</v>
      </c>
    </row>
    <row r="217" spans="1:67" x14ac:dyDescent="0.2">
      <c r="A217" s="12" t="s">
        <v>1078</v>
      </c>
      <c r="B217" s="12" t="s">
        <v>1079</v>
      </c>
      <c r="C217" s="12" t="s">
        <v>978</v>
      </c>
      <c r="D217" s="12" t="s">
        <v>979</v>
      </c>
      <c r="E217" s="12">
        <v>28339677509.8764</v>
      </c>
      <c r="F217" s="12">
        <v>29951631334.585899</v>
      </c>
      <c r="G217" s="12">
        <v>31893996575.232101</v>
      </c>
      <c r="H217" s="12">
        <v>34282761516.5201</v>
      </c>
      <c r="I217" s="12">
        <v>37436931574.056702</v>
      </c>
      <c r="J217" s="12">
        <v>40685576290.502403</v>
      </c>
      <c r="K217" s="12">
        <v>43680512213.299004</v>
      </c>
      <c r="L217" s="12">
        <v>44668207738.662201</v>
      </c>
      <c r="M217" s="12">
        <v>47531396510.7183</v>
      </c>
      <c r="N217" s="12">
        <v>53640451938.1521</v>
      </c>
      <c r="O217" s="12">
        <v>64248066045.5177</v>
      </c>
      <c r="P217" s="12">
        <v>64770363094.268303</v>
      </c>
      <c r="Q217" s="12">
        <v>72950126223.113205</v>
      </c>
      <c r="R217" s="12">
        <v>94279603165.010406</v>
      </c>
      <c r="S217" s="12">
        <v>121738430155.452</v>
      </c>
      <c r="T217" s="12">
        <v>134499698800.185</v>
      </c>
      <c r="U217" s="12">
        <v>146756437772.289</v>
      </c>
      <c r="V217" s="12">
        <v>158899591001.13199</v>
      </c>
      <c r="W217" s="12">
        <v>175478674167.69699</v>
      </c>
      <c r="X217" s="12">
        <v>213173661727.75201</v>
      </c>
      <c r="Y217" s="12">
        <v>276336730674.47803</v>
      </c>
      <c r="Z217" s="12">
        <v>390484722152.75</v>
      </c>
      <c r="AA217" s="12">
        <v>355985902857.815</v>
      </c>
      <c r="AB217" s="12">
        <v>314347824777.71503</v>
      </c>
      <c r="AC217" s="12">
        <v>277145670567.64001</v>
      </c>
      <c r="AD217" s="12">
        <v>252901147305.87701</v>
      </c>
      <c r="AE217" s="12">
        <v>260920545032.19101</v>
      </c>
      <c r="AF217" s="12">
        <v>296185594720.927</v>
      </c>
      <c r="AG217" s="12">
        <v>313349290527.17798</v>
      </c>
      <c r="AH217" s="12">
        <v>318765515377.98102</v>
      </c>
      <c r="AI217" s="12">
        <v>374681178415.13501</v>
      </c>
      <c r="AJ217" s="12">
        <v>401456105530.04999</v>
      </c>
      <c r="AK217" s="12">
        <v>361254769678.74597</v>
      </c>
      <c r="AL217" s="12">
        <v>364835850916.53699</v>
      </c>
      <c r="AM217" s="12">
        <v>372817881970.84198</v>
      </c>
      <c r="AN217" s="12">
        <v>475485850362.93402</v>
      </c>
      <c r="AO217" s="12">
        <v>529866741796.45099</v>
      </c>
      <c r="AP217" s="12">
        <v>557981506943.18896</v>
      </c>
      <c r="AQ217" s="12">
        <v>562116905772.87097</v>
      </c>
      <c r="AR217" s="12">
        <v>399156026479.13501</v>
      </c>
      <c r="AS217" s="12">
        <v>423549031771.83301</v>
      </c>
      <c r="AT217" s="12">
        <v>406162345583.20599</v>
      </c>
      <c r="AU217" s="12">
        <v>442418130126.34998</v>
      </c>
      <c r="AV217" s="12">
        <v>557408871025.22095</v>
      </c>
      <c r="AW217" s="12">
        <v>692413179455.89404</v>
      </c>
      <c r="AX217" s="12">
        <v>822476390114.526</v>
      </c>
      <c r="AY217" s="12">
        <v>972603365679.06396</v>
      </c>
      <c r="AZ217" s="12">
        <v>1127639125363.03</v>
      </c>
      <c r="BA217" s="12">
        <v>1278617260596.52</v>
      </c>
      <c r="BB217" s="12">
        <v>1224156381438.96</v>
      </c>
      <c r="BC217" s="12">
        <v>1449056514720.29</v>
      </c>
      <c r="BD217" s="12">
        <v>1628943724127.0601</v>
      </c>
      <c r="BE217" s="12">
        <v>1690778454818.72</v>
      </c>
      <c r="BF217" s="12">
        <v>1796111904073.1299</v>
      </c>
      <c r="BG217" s="12">
        <v>1872807887603.96</v>
      </c>
      <c r="BH217" s="12">
        <v>1667127330878.3999</v>
      </c>
      <c r="BI217" s="12">
        <v>1520394271172.3701</v>
      </c>
      <c r="BJ217" s="12">
        <v>1624059844132.55</v>
      </c>
      <c r="BK217" s="12">
        <v>1779091569617.5901</v>
      </c>
      <c r="BL217" s="12">
        <v>1827951489811.3501</v>
      </c>
      <c r="BM217" s="12">
        <v>1714659156400.95</v>
      </c>
      <c r="BN217" s="12">
        <v>1930171554030.0801</v>
      </c>
      <c r="BO217" s="12">
        <v>2058942959164.7</v>
      </c>
    </row>
    <row r="218" spans="1:67" x14ac:dyDescent="0.2">
      <c r="A218" s="12" t="s">
        <v>337</v>
      </c>
      <c r="B218" s="12" t="s">
        <v>336</v>
      </c>
      <c r="C218" s="12" t="s">
        <v>978</v>
      </c>
      <c r="D218" s="12" t="s">
        <v>979</v>
      </c>
      <c r="BA218" s="12">
        <v>14586253383.0632</v>
      </c>
      <c r="BB218" s="12">
        <v>12231264525.067101</v>
      </c>
      <c r="BC218" s="12">
        <v>14602072410.9506</v>
      </c>
      <c r="BD218" s="12">
        <v>14907308932.753401</v>
      </c>
      <c r="BE218" s="12">
        <v>11931472169.491501</v>
      </c>
      <c r="BF218" s="12">
        <v>18426469016.9492</v>
      </c>
      <c r="BG218" s="12">
        <v>13962212847.4576</v>
      </c>
      <c r="BH218" s="12">
        <v>11997800760.224199</v>
      </c>
    </row>
    <row r="219" spans="1:67" x14ac:dyDescent="0.2">
      <c r="A219" s="12" t="s">
        <v>1080</v>
      </c>
      <c r="B219" s="12" t="s">
        <v>1081</v>
      </c>
      <c r="C219" s="12" t="s">
        <v>978</v>
      </c>
      <c r="D219" s="12" t="s">
        <v>979</v>
      </c>
      <c r="E219" s="12">
        <v>28350468421.423302</v>
      </c>
      <c r="F219" s="12">
        <v>29961725657.4622</v>
      </c>
      <c r="G219" s="12">
        <v>31905097549.773399</v>
      </c>
      <c r="H219" s="12">
        <v>34295088187.634399</v>
      </c>
      <c r="I219" s="12">
        <v>37450615380.929298</v>
      </c>
      <c r="J219" s="12">
        <v>40699119254.401703</v>
      </c>
      <c r="K219" s="12">
        <v>43694688022.953598</v>
      </c>
      <c r="L219" s="12">
        <v>44682488650.672699</v>
      </c>
      <c r="M219" s="12">
        <v>47544692629.810997</v>
      </c>
      <c r="N219" s="12">
        <v>53653482086.158897</v>
      </c>
      <c r="O219" s="12">
        <v>64262183030.200996</v>
      </c>
      <c r="P219" s="12">
        <v>64788548517.3246</v>
      </c>
      <c r="Q219" s="12">
        <v>72977507312.995499</v>
      </c>
      <c r="R219" s="12">
        <v>94311825089.777603</v>
      </c>
      <c r="S219" s="12">
        <v>121774770158.32201</v>
      </c>
      <c r="T219" s="12">
        <v>134540019971.16</v>
      </c>
      <c r="U219" s="12">
        <v>146797068140.63</v>
      </c>
      <c r="V219" s="12">
        <v>158956560542.323</v>
      </c>
      <c r="W219" s="12">
        <v>175558206633.79401</v>
      </c>
      <c r="X219" s="12">
        <v>213297405524.418</v>
      </c>
      <c r="Y219" s="12">
        <v>276487623475.67499</v>
      </c>
      <c r="Z219" s="12">
        <v>390633603280.26801</v>
      </c>
      <c r="AA219" s="12">
        <v>356130276106.41602</v>
      </c>
      <c r="AB219" s="12">
        <v>314494149172.914</v>
      </c>
      <c r="AC219" s="12">
        <v>277300160741.81097</v>
      </c>
      <c r="AD219" s="12">
        <v>253076588719.10199</v>
      </c>
      <c r="AE219" s="12">
        <v>261139143911.64801</v>
      </c>
      <c r="AF219" s="12">
        <v>296448524482.90698</v>
      </c>
      <c r="AG219" s="12">
        <v>313649780704.32501</v>
      </c>
      <c r="AH219" s="12">
        <v>319088765783.61401</v>
      </c>
      <c r="AI219" s="12">
        <v>375072348965.14001</v>
      </c>
      <c r="AJ219" s="12">
        <v>401852141920.69397</v>
      </c>
      <c r="AK219" s="12">
        <v>361718727022.31403</v>
      </c>
      <c r="AL219" s="12">
        <v>365343311951.85602</v>
      </c>
      <c r="AM219" s="12">
        <v>373338792773.34497</v>
      </c>
      <c r="AN219" s="12">
        <v>476028793024.35699</v>
      </c>
      <c r="AO219" s="12">
        <v>530403297592.96503</v>
      </c>
      <c r="AP219" s="12">
        <v>558582455488.93005</v>
      </c>
      <c r="AQ219" s="12">
        <v>562766943419.56897</v>
      </c>
      <c r="AR219" s="12">
        <v>399824309739.07397</v>
      </c>
      <c r="AS219" s="12">
        <v>424208177273.26001</v>
      </c>
      <c r="AT219" s="12">
        <v>406829662892.38702</v>
      </c>
      <c r="AU219" s="12">
        <v>443166298756.59399</v>
      </c>
      <c r="AV219" s="12">
        <v>558164582744.67102</v>
      </c>
      <c r="AW219" s="12">
        <v>693311644402.71802</v>
      </c>
      <c r="AX219" s="12">
        <v>823459534915.65405</v>
      </c>
      <c r="AY219" s="12">
        <v>973689895732.948</v>
      </c>
      <c r="AZ219" s="12">
        <v>1128719710420.6699</v>
      </c>
      <c r="BA219" s="12">
        <v>1279596976613.3601</v>
      </c>
      <c r="BB219" s="12">
        <v>1225007276583.1101</v>
      </c>
      <c r="BC219" s="12">
        <v>1450038149332.22</v>
      </c>
      <c r="BD219" s="12">
        <v>1630002510355.1499</v>
      </c>
      <c r="BE219" s="12">
        <v>1691867822997.4399</v>
      </c>
      <c r="BF219" s="12">
        <v>1797436819258.23</v>
      </c>
      <c r="BG219" s="12">
        <v>1874195464054.1001</v>
      </c>
      <c r="BH219" s="12">
        <v>1668518758845.73</v>
      </c>
      <c r="BI219" s="12">
        <v>1521853225245.6799</v>
      </c>
      <c r="BJ219" s="12">
        <v>1625589617605.8601</v>
      </c>
      <c r="BK219" s="12">
        <v>1780679619928.75</v>
      </c>
      <c r="BL219" s="12">
        <v>1829596580378.3999</v>
      </c>
      <c r="BM219" s="12">
        <v>1715842671714.98</v>
      </c>
      <c r="BN219" s="12">
        <v>1931458241338.3401</v>
      </c>
      <c r="BO219" s="12">
        <v>2060531397309.0801</v>
      </c>
    </row>
    <row r="220" spans="1:67" x14ac:dyDescent="0.2">
      <c r="A220" s="12" t="s">
        <v>1082</v>
      </c>
      <c r="B220" s="12" t="s">
        <v>1083</v>
      </c>
      <c r="C220" s="12" t="s">
        <v>978</v>
      </c>
      <c r="D220" s="12" t="s">
        <v>979</v>
      </c>
      <c r="O220" s="12">
        <v>7870678390.9634895</v>
      </c>
      <c r="P220" s="12">
        <v>8854610885.4567108</v>
      </c>
      <c r="Q220" s="12">
        <v>10432558017.144501</v>
      </c>
      <c r="R220" s="12">
        <v>13001262269.6525</v>
      </c>
      <c r="S220" s="12">
        <v>20196388658.894501</v>
      </c>
      <c r="T220" s="12">
        <v>22991435433.166599</v>
      </c>
      <c r="U220" s="12">
        <v>26244808127.187401</v>
      </c>
      <c r="V220" s="12">
        <v>29803092040.883999</v>
      </c>
      <c r="W220" s="12">
        <v>32043116268.828201</v>
      </c>
      <c r="X220" s="12">
        <v>39765122681.823601</v>
      </c>
      <c r="Y220" s="12">
        <v>52930481264.416397</v>
      </c>
      <c r="Z220" s="12">
        <v>54691561096.106499</v>
      </c>
      <c r="AA220" s="12">
        <v>54431296639.378502</v>
      </c>
      <c r="AB220" s="12">
        <v>52659360609.153999</v>
      </c>
      <c r="AC220" s="12">
        <v>52177686490.406303</v>
      </c>
      <c r="AD220" s="12">
        <v>50258300315.823402</v>
      </c>
      <c r="AE220" s="12">
        <v>49330296097.088203</v>
      </c>
      <c r="AF220" s="12">
        <v>56350869057.7584</v>
      </c>
      <c r="AG220" s="12">
        <v>62056041292.372902</v>
      </c>
      <c r="AH220" s="12">
        <v>64563575914.671799</v>
      </c>
      <c r="AI220" s="12">
        <v>74904284632.345596</v>
      </c>
      <c r="AJ220" s="12">
        <v>76503385459.613693</v>
      </c>
      <c r="AK220" s="12">
        <v>81412478291.952301</v>
      </c>
      <c r="AL220" s="12">
        <v>80325204441.004395</v>
      </c>
      <c r="AM220" s="12">
        <v>84517313060.540802</v>
      </c>
      <c r="AN220" s="12">
        <v>95833039358.356995</v>
      </c>
      <c r="AO220" s="12">
        <v>101906865973.505</v>
      </c>
      <c r="AP220" s="12">
        <v>109156115404.436</v>
      </c>
      <c r="AQ220" s="12">
        <v>109054240809.162</v>
      </c>
      <c r="AR220" s="12">
        <v>116967168370.52</v>
      </c>
      <c r="AS220" s="12">
        <v>129427285780.10899</v>
      </c>
      <c r="AT220" s="12">
        <v>129944629555.58</v>
      </c>
      <c r="AU220" s="12">
        <v>139039991470.62</v>
      </c>
      <c r="AV220" s="12">
        <v>166311834949.328</v>
      </c>
      <c r="AW220" s="12">
        <v>200125136310.866</v>
      </c>
      <c r="AX220" s="12">
        <v>238408838954.68301</v>
      </c>
      <c r="AY220" s="12">
        <v>277390647709.80402</v>
      </c>
      <c r="AZ220" s="12">
        <v>332464515328.276</v>
      </c>
      <c r="BA220" s="12">
        <v>400485012150.16498</v>
      </c>
      <c r="BB220" s="12">
        <v>343078746509.03699</v>
      </c>
      <c r="BC220" s="12">
        <v>394062206459.67499</v>
      </c>
      <c r="BD220" s="12">
        <v>474845732089.77698</v>
      </c>
      <c r="BE220" s="12">
        <v>496292151229.88</v>
      </c>
      <c r="BF220" s="12">
        <v>515843772131.96198</v>
      </c>
      <c r="BG220" s="12">
        <v>532820364281.38</v>
      </c>
      <c r="BH220" s="12">
        <v>455151461884.52502</v>
      </c>
      <c r="BI220" s="12">
        <v>447159100959.92999</v>
      </c>
      <c r="BJ220" s="12">
        <v>483232971475.53802</v>
      </c>
      <c r="BK220" s="12">
        <v>530629968630.17499</v>
      </c>
      <c r="BL220" s="12">
        <v>522425066419.73297</v>
      </c>
      <c r="BM220" s="12">
        <v>453792483117.133</v>
      </c>
      <c r="BN220" s="12">
        <v>542727261728.34399</v>
      </c>
      <c r="BO220" s="12">
        <v>636018280142.00098</v>
      </c>
    </row>
    <row r="221" spans="1:67" x14ac:dyDescent="0.2">
      <c r="A221" s="12" t="s">
        <v>265</v>
      </c>
      <c r="B221" s="12" t="s">
        <v>264</v>
      </c>
      <c r="C221" s="12" t="s">
        <v>978</v>
      </c>
      <c r="D221" s="12" t="s">
        <v>979</v>
      </c>
      <c r="AT221" s="12">
        <v>75951133.377794802</v>
      </c>
      <c r="AU221" s="12">
        <v>85171073.877749801</v>
      </c>
      <c r="AV221" s="12">
        <v>102085769.123419</v>
      </c>
      <c r="AW221" s="12">
        <v>114582283.916382</v>
      </c>
      <c r="AX221" s="12">
        <v>136450662.39059201</v>
      </c>
      <c r="AY221" s="12">
        <v>142775104.081626</v>
      </c>
      <c r="AZ221" s="12">
        <v>149146918.88861099</v>
      </c>
      <c r="BA221" s="12">
        <v>188021165.00338</v>
      </c>
      <c r="BB221" s="12">
        <v>200668065.03174999</v>
      </c>
      <c r="BC221" s="12">
        <v>190021192.48953599</v>
      </c>
      <c r="BD221" s="12">
        <v>226455001.243083</v>
      </c>
      <c r="BE221" s="12">
        <v>229371348.20260599</v>
      </c>
      <c r="BF221" s="12">
        <v>267041747.58435401</v>
      </c>
      <c r="BG221" s="12">
        <v>293119143.24682498</v>
      </c>
      <c r="BH221" s="12">
        <v>259999643.04738799</v>
      </c>
      <c r="BI221" s="12">
        <v>292267272.19692498</v>
      </c>
      <c r="BJ221" s="12">
        <v>322002845.22933501</v>
      </c>
      <c r="BK221" s="12">
        <v>383717327.83050799</v>
      </c>
      <c r="BL221" s="12">
        <v>412976064.47921401</v>
      </c>
      <c r="BM221" s="12">
        <v>471229484.607144</v>
      </c>
      <c r="BN221" s="12">
        <v>524402450.75561202</v>
      </c>
      <c r="BO221" s="12">
        <v>542686976.457587</v>
      </c>
    </row>
    <row r="222" spans="1:67" x14ac:dyDescent="0.2">
      <c r="A222" s="12" t="s">
        <v>221</v>
      </c>
      <c r="B222" s="12" t="s">
        <v>220</v>
      </c>
      <c r="C222" s="12" t="s">
        <v>978</v>
      </c>
      <c r="D222" s="12" t="s">
        <v>979</v>
      </c>
      <c r="E222" s="12">
        <v>99650000</v>
      </c>
      <c r="F222" s="12">
        <v>107700000</v>
      </c>
      <c r="G222" s="12">
        <v>116150000</v>
      </c>
      <c r="H222" s="12">
        <v>125950000</v>
      </c>
      <c r="I222" s="12">
        <v>134400000</v>
      </c>
      <c r="J222" s="12">
        <v>154150000</v>
      </c>
      <c r="K222" s="12">
        <v>190350000</v>
      </c>
      <c r="L222" s="12">
        <v>220700000</v>
      </c>
      <c r="M222" s="12">
        <v>241350000</v>
      </c>
      <c r="N222" s="12">
        <v>259650000</v>
      </c>
      <c r="O222" s="12">
        <v>274900000</v>
      </c>
      <c r="P222" s="12">
        <v>301000000</v>
      </c>
      <c r="Q222" s="12">
        <v>311950000</v>
      </c>
      <c r="R222" s="12">
        <v>339450000</v>
      </c>
      <c r="S222" s="12">
        <v>409850000</v>
      </c>
      <c r="T222" s="12">
        <v>465500000</v>
      </c>
      <c r="U222" s="12">
        <v>505500000</v>
      </c>
      <c r="V222" s="12">
        <v>641500000</v>
      </c>
      <c r="W222" s="12">
        <v>735500000</v>
      </c>
      <c r="X222" s="12">
        <v>782500000</v>
      </c>
      <c r="Y222" s="12">
        <v>795000000</v>
      </c>
      <c r="Z222" s="12">
        <v>889000000</v>
      </c>
      <c r="AA222" s="12">
        <v>915000000</v>
      </c>
      <c r="AB222" s="12">
        <v>883500000</v>
      </c>
      <c r="AC222" s="12">
        <v>864000000</v>
      </c>
      <c r="AD222" s="12">
        <v>873000000</v>
      </c>
      <c r="AE222" s="12">
        <v>891000000</v>
      </c>
      <c r="AF222" s="12">
        <v>980000000</v>
      </c>
      <c r="AG222" s="12">
        <v>1161000000</v>
      </c>
      <c r="AH222" s="12">
        <v>542600000</v>
      </c>
      <c r="AI222" s="12">
        <v>388400000</v>
      </c>
      <c r="AJ222" s="12">
        <v>448100000</v>
      </c>
      <c r="AK222" s="12">
        <v>404600000</v>
      </c>
      <c r="AL222" s="12">
        <v>428764705.88235301</v>
      </c>
      <c r="AM222" s="12">
        <v>605492537.31343305</v>
      </c>
      <c r="AN222" s="12">
        <v>691590497.73755705</v>
      </c>
      <c r="AO222" s="12">
        <v>861372806.20819998</v>
      </c>
      <c r="AP222" s="12">
        <v>926422500</v>
      </c>
      <c r="AQ222" s="12">
        <v>1110850000</v>
      </c>
      <c r="AR222" s="12">
        <v>886290697.67441905</v>
      </c>
      <c r="AS222" s="12">
        <v>947671969.69696999</v>
      </c>
      <c r="AT222" s="12">
        <v>834279357.79816496</v>
      </c>
      <c r="AU222" s="12">
        <v>1093574468.0851099</v>
      </c>
      <c r="AV222" s="12">
        <v>1274190311.41869</v>
      </c>
      <c r="AW222" s="12">
        <v>1484092538.4052701</v>
      </c>
      <c r="AX222" s="12">
        <v>1793410397.3873799</v>
      </c>
      <c r="AY222" s="12">
        <v>2626380435.1787701</v>
      </c>
      <c r="AZ222" s="12">
        <v>2936612021.8579202</v>
      </c>
      <c r="BA222" s="12">
        <v>3532969034.6083798</v>
      </c>
      <c r="BB222" s="12">
        <v>3875409836.0655699</v>
      </c>
      <c r="BC222" s="12">
        <v>4368370997.9212599</v>
      </c>
      <c r="BD222" s="12">
        <v>4422276621.7870302</v>
      </c>
      <c r="BE222" s="12">
        <v>4980000000</v>
      </c>
      <c r="BF222" s="12">
        <v>5145757575.7575798</v>
      </c>
      <c r="BG222" s="12">
        <v>5240606060.60606</v>
      </c>
      <c r="BH222" s="12">
        <v>5126237646.2207203</v>
      </c>
      <c r="BI222" s="12">
        <v>3317421648.0991802</v>
      </c>
      <c r="BJ222" s="12">
        <v>3591679430.9998798</v>
      </c>
      <c r="BK222" s="12">
        <v>3996198866.5745301</v>
      </c>
      <c r="BL222" s="12">
        <v>4016040575.0879598</v>
      </c>
      <c r="BM222" s="12">
        <v>2911807496.20227</v>
      </c>
      <c r="BN222" s="12">
        <v>3081401725.88833</v>
      </c>
      <c r="BO222" s="12">
        <v>3620987993.3263698</v>
      </c>
    </row>
    <row r="223" spans="1:67" x14ac:dyDescent="0.2">
      <c r="A223" s="12" t="s">
        <v>157</v>
      </c>
      <c r="B223" s="12" t="s">
        <v>156</v>
      </c>
      <c r="C223" s="12" t="s">
        <v>978</v>
      </c>
      <c r="D223" s="12" t="s">
        <v>979</v>
      </c>
      <c r="AI223" s="12">
        <v>12747380650.0762</v>
      </c>
      <c r="AJ223" s="12">
        <v>14272201755.4704</v>
      </c>
      <c r="AK223" s="12">
        <v>15495514296.804199</v>
      </c>
      <c r="AL223" s="12">
        <v>16520676973.5301</v>
      </c>
      <c r="AM223" s="12">
        <v>20162936291.375</v>
      </c>
      <c r="AN223" s="12">
        <v>25840146405.228802</v>
      </c>
      <c r="AO223" s="12">
        <v>27925036755.3866</v>
      </c>
      <c r="AP223" s="12">
        <v>27706028095.6157</v>
      </c>
      <c r="AQ223" s="12">
        <v>29856000671.216</v>
      </c>
      <c r="AR223" s="12">
        <v>30463670123.593102</v>
      </c>
      <c r="AS223" s="12">
        <v>29242558796.550701</v>
      </c>
      <c r="AT223" s="12">
        <v>30778781606.9575</v>
      </c>
      <c r="AU223" s="12">
        <v>35297794385.686302</v>
      </c>
      <c r="AV223" s="12">
        <v>46919965224.149696</v>
      </c>
      <c r="AW223" s="12">
        <v>57437444469.086998</v>
      </c>
      <c r="AX223" s="12">
        <v>62808723476.719002</v>
      </c>
      <c r="AY223" s="12">
        <v>70767338922.441101</v>
      </c>
      <c r="AZ223" s="12">
        <v>86563986799.250504</v>
      </c>
      <c r="BA223" s="12">
        <v>100879902984.983</v>
      </c>
      <c r="BB223" s="12">
        <v>89399303222.154999</v>
      </c>
      <c r="BC223" s="12">
        <v>91162836320.350204</v>
      </c>
      <c r="BD223" s="12">
        <v>99922685424.883499</v>
      </c>
      <c r="BE223" s="12">
        <v>94623731085.610596</v>
      </c>
      <c r="BF223" s="12">
        <v>98935222174.860306</v>
      </c>
      <c r="BG223" s="12">
        <v>101437045019.901</v>
      </c>
      <c r="BH223" s="12">
        <v>88900883130.837402</v>
      </c>
      <c r="BI223" s="12">
        <v>89952699524.893997</v>
      </c>
      <c r="BJ223" s="12">
        <v>95649966260.980194</v>
      </c>
      <c r="BK223" s="12">
        <v>106137924015.593</v>
      </c>
      <c r="BL223" s="12">
        <v>105711680180.565</v>
      </c>
      <c r="BM223" s="12">
        <v>106731482855.496</v>
      </c>
      <c r="BN223" s="12">
        <v>118576482542.58299</v>
      </c>
      <c r="BO223" s="12">
        <v>115461711688.965</v>
      </c>
    </row>
    <row r="224" spans="1:67" x14ac:dyDescent="0.2">
      <c r="A224" s="12" t="s">
        <v>43</v>
      </c>
      <c r="B224" s="12" t="s">
        <v>42</v>
      </c>
      <c r="C224" s="12" t="s">
        <v>978</v>
      </c>
      <c r="D224" s="12" t="s">
        <v>979</v>
      </c>
      <c r="AN224" s="12">
        <v>21352224019.409599</v>
      </c>
      <c r="AO224" s="12">
        <v>21507232648.725201</v>
      </c>
      <c r="AP224" s="12">
        <v>20763101740.696301</v>
      </c>
      <c r="AQ224" s="12">
        <v>22146231967.6861</v>
      </c>
      <c r="AR224" s="12">
        <v>22711384311.1404</v>
      </c>
      <c r="AS224" s="12">
        <v>20289627636.676701</v>
      </c>
      <c r="AT224" s="12">
        <v>20876309970.384998</v>
      </c>
      <c r="AU224" s="12">
        <v>23489890274.314201</v>
      </c>
      <c r="AV224" s="12">
        <v>29634713641.096802</v>
      </c>
      <c r="AW224" s="12">
        <v>34414784504.235199</v>
      </c>
      <c r="AX224" s="12">
        <v>36206395970.650398</v>
      </c>
      <c r="AY224" s="12">
        <v>39481045038.263702</v>
      </c>
      <c r="AZ224" s="12">
        <v>48067401207.397797</v>
      </c>
      <c r="BA224" s="12">
        <v>55779427739.660896</v>
      </c>
      <c r="BB224" s="12">
        <v>50567734885.961304</v>
      </c>
      <c r="BC224" s="12">
        <v>48208240226.450104</v>
      </c>
      <c r="BD224" s="12">
        <v>51583869785.184898</v>
      </c>
      <c r="BE224" s="12">
        <v>46577793184.003098</v>
      </c>
      <c r="BF224" s="12">
        <v>48415657264.875801</v>
      </c>
      <c r="BG224" s="12">
        <v>49997186439.091599</v>
      </c>
      <c r="BH224" s="12">
        <v>43107506024.325401</v>
      </c>
      <c r="BI224" s="12">
        <v>44766722790.582603</v>
      </c>
      <c r="BJ224" s="12">
        <v>48589100043.095398</v>
      </c>
      <c r="BK224" s="12">
        <v>54177882425.843102</v>
      </c>
      <c r="BL224" s="12">
        <v>54386654313.968498</v>
      </c>
      <c r="BM224" s="12">
        <v>53734526854.228897</v>
      </c>
      <c r="BN224" s="12">
        <v>61832201543.828499</v>
      </c>
      <c r="BO224" s="12">
        <v>60063475466.344597</v>
      </c>
    </row>
    <row r="225" spans="1:67" x14ac:dyDescent="0.2">
      <c r="A225" s="12" t="s">
        <v>3</v>
      </c>
      <c r="B225" s="12" t="s">
        <v>2</v>
      </c>
      <c r="C225" s="12" t="s">
        <v>978</v>
      </c>
      <c r="D225" s="12" t="s">
        <v>979</v>
      </c>
      <c r="E225" s="12">
        <v>15822585033.576401</v>
      </c>
      <c r="F225" s="12">
        <v>17212686614.572601</v>
      </c>
      <c r="G225" s="12">
        <v>18667251380.0746</v>
      </c>
      <c r="H225" s="12">
        <v>20204870629.744099</v>
      </c>
      <c r="I225" s="12">
        <v>22532416750.012501</v>
      </c>
      <c r="J225" s="12">
        <v>24795499685.775002</v>
      </c>
      <c r="K225" s="12">
        <v>26971486546.284801</v>
      </c>
      <c r="L225" s="12">
        <v>29275995674.688801</v>
      </c>
      <c r="M225" s="12">
        <v>31066819929.285301</v>
      </c>
      <c r="N225" s="12">
        <v>33738102482.1558</v>
      </c>
      <c r="O225" s="12">
        <v>38092452060.620102</v>
      </c>
      <c r="P225" s="12">
        <v>41566412922.608704</v>
      </c>
      <c r="Q225" s="12">
        <v>48954145808.835899</v>
      </c>
      <c r="R225" s="12">
        <v>59404966684.221397</v>
      </c>
      <c r="S225" s="12">
        <v>66013338964.724998</v>
      </c>
      <c r="T225" s="12">
        <v>82885397620.538498</v>
      </c>
      <c r="U225" s="12">
        <v>89362071672.903397</v>
      </c>
      <c r="V225" s="12">
        <v>94468740851.481598</v>
      </c>
      <c r="W225" s="12">
        <v>104442351222.75101</v>
      </c>
      <c r="X225" s="12">
        <v>123386410160.715</v>
      </c>
      <c r="Y225" s="12">
        <v>142092068280.689</v>
      </c>
      <c r="Z225" s="12">
        <v>129686938223.328</v>
      </c>
      <c r="AA225" s="12">
        <v>114380557730.87601</v>
      </c>
      <c r="AB225" s="12">
        <v>105014356666.797</v>
      </c>
      <c r="AC225" s="12">
        <v>109201362581.3</v>
      </c>
      <c r="AD225" s="12">
        <v>114123537581.79401</v>
      </c>
      <c r="AE225" s="12">
        <v>150498057723.62299</v>
      </c>
      <c r="AF225" s="12">
        <v>183009638350.89301</v>
      </c>
      <c r="AG225" s="12">
        <v>206986674500.58801</v>
      </c>
      <c r="AH225" s="12">
        <v>217948315624.564</v>
      </c>
      <c r="AI225" s="12">
        <v>261846194498.88501</v>
      </c>
      <c r="AJ225" s="12">
        <v>274229034311.69901</v>
      </c>
      <c r="AK225" s="12">
        <v>284321115594.62903</v>
      </c>
      <c r="AL225" s="12">
        <v>212953336588.12299</v>
      </c>
      <c r="AM225" s="12">
        <v>229033566614.82599</v>
      </c>
      <c r="AN225" s="12">
        <v>267305875261.099</v>
      </c>
      <c r="AO225" s="12">
        <v>291743811512.07898</v>
      </c>
      <c r="AP225" s="12">
        <v>268146144677.73001</v>
      </c>
      <c r="AQ225" s="12">
        <v>270809066780.71399</v>
      </c>
      <c r="AR225" s="12">
        <v>274072182416.73099</v>
      </c>
      <c r="AS225" s="12">
        <v>262835454366.85501</v>
      </c>
      <c r="AT225" s="12">
        <v>242395852494.409</v>
      </c>
      <c r="AU225" s="12">
        <v>266849061835.659</v>
      </c>
      <c r="AV225" s="12">
        <v>334337212322.07599</v>
      </c>
      <c r="AW225" s="12">
        <v>385118044877.46503</v>
      </c>
      <c r="AX225" s="12">
        <v>392218088878.77899</v>
      </c>
      <c r="AY225" s="12">
        <v>423093437423.76202</v>
      </c>
      <c r="AZ225" s="12">
        <v>491252589217.021</v>
      </c>
      <c r="BA225" s="12">
        <v>517706149201.19598</v>
      </c>
      <c r="BB225" s="12">
        <v>436537014293.55402</v>
      </c>
      <c r="BC225" s="12">
        <v>495812558843.31</v>
      </c>
      <c r="BD225" s="12">
        <v>574094112972.73303</v>
      </c>
      <c r="BE225" s="12">
        <v>552483727282.802</v>
      </c>
      <c r="BF225" s="12">
        <v>586841821796.89099</v>
      </c>
      <c r="BG225" s="12">
        <v>581964017237.09497</v>
      </c>
      <c r="BH225" s="12">
        <v>505103781349.75702</v>
      </c>
      <c r="BI225" s="12">
        <v>515654671469.547</v>
      </c>
      <c r="BJ225" s="12">
        <v>541018749769.09698</v>
      </c>
      <c r="BK225" s="12">
        <v>555455371487.08899</v>
      </c>
      <c r="BL225" s="12">
        <v>533879529188.45398</v>
      </c>
      <c r="BM225" s="12">
        <v>547054174235.87598</v>
      </c>
      <c r="BN225" s="12">
        <v>639714956069.46802</v>
      </c>
      <c r="BO225" s="12">
        <v>591718144602.14099</v>
      </c>
    </row>
    <row r="226" spans="1:67" x14ac:dyDescent="0.2">
      <c r="A226" s="12" t="s">
        <v>281</v>
      </c>
      <c r="B226" s="12" t="s">
        <v>280</v>
      </c>
      <c r="C226" s="12" t="s">
        <v>978</v>
      </c>
      <c r="D226" s="12" t="s">
        <v>979</v>
      </c>
      <c r="E226" s="12">
        <v>35076845.969261602</v>
      </c>
      <c r="F226" s="12">
        <v>43026042.789582901</v>
      </c>
      <c r="G226" s="12">
        <v>45927961.628815398</v>
      </c>
      <c r="H226" s="12">
        <v>54129438.348224699</v>
      </c>
      <c r="I226" s="12">
        <v>64980554.007778399</v>
      </c>
      <c r="J226" s="12">
        <v>70279971.888011202</v>
      </c>
      <c r="K226" s="12">
        <v>76859969.256012306</v>
      </c>
      <c r="L226" s="12">
        <v>74759970.096011996</v>
      </c>
      <c r="M226" s="12">
        <v>79799968.080012798</v>
      </c>
      <c r="N226" s="12">
        <v>105419957.832017</v>
      </c>
      <c r="O226" s="12">
        <v>112139955.14401799</v>
      </c>
      <c r="P226" s="12">
        <v>136462080.73913199</v>
      </c>
      <c r="Q226" s="12">
        <v>146736479.23509699</v>
      </c>
      <c r="R226" s="12">
        <v>221915127.55076301</v>
      </c>
      <c r="S226" s="12">
        <v>264320940.95900199</v>
      </c>
      <c r="T226" s="12">
        <v>288299788.508035</v>
      </c>
      <c r="U226" s="12">
        <v>272550068.13751698</v>
      </c>
      <c r="V226" s="12">
        <v>304060076.015019</v>
      </c>
      <c r="W226" s="12">
        <v>340630085.15752101</v>
      </c>
      <c r="X226" s="12">
        <v>412093133.760988</v>
      </c>
      <c r="Y226" s="12">
        <v>541976852.577057</v>
      </c>
      <c r="Z226" s="12">
        <v>570774824.830585</v>
      </c>
      <c r="AA226" s="12">
        <v>537568059.41338098</v>
      </c>
      <c r="AB226" s="12">
        <v>555336145.76788402</v>
      </c>
      <c r="AC226" s="12">
        <v>494483408.87846798</v>
      </c>
      <c r="AD226" s="12">
        <v>360079419.38595802</v>
      </c>
      <c r="AE226" s="12">
        <v>449140318.38503802</v>
      </c>
      <c r="AF226" s="12">
        <v>584126092.25881898</v>
      </c>
      <c r="AG226" s="12">
        <v>692026454.737872</v>
      </c>
      <c r="AH226" s="12">
        <v>696921542.37826502</v>
      </c>
      <c r="AI226" s="12">
        <v>1114694040.6698699</v>
      </c>
      <c r="AJ226" s="12">
        <v>1156135717.9459801</v>
      </c>
      <c r="AK226" s="12">
        <v>1284759927.5459399</v>
      </c>
      <c r="AL226" s="12">
        <v>1357189551.68431</v>
      </c>
      <c r="AM226" s="12">
        <v>1419294254.4182999</v>
      </c>
      <c r="AN226" s="12">
        <v>1698989463.99106</v>
      </c>
      <c r="AO226" s="12">
        <v>1602741833.7055199</v>
      </c>
      <c r="AP226" s="12">
        <v>1716714070.1247101</v>
      </c>
      <c r="AQ226" s="12">
        <v>1576908856.34674</v>
      </c>
      <c r="AR226" s="12">
        <v>1547888495.9842801</v>
      </c>
      <c r="AS226" s="12">
        <v>1738093840.36607</v>
      </c>
      <c r="AT226" s="12">
        <v>1542477308.8940799</v>
      </c>
      <c r="AU226" s="12">
        <v>1432221739.12342</v>
      </c>
      <c r="AV226" s="12">
        <v>2197598466.2544699</v>
      </c>
      <c r="AW226" s="12">
        <v>2770082791.5041199</v>
      </c>
      <c r="AX226" s="12">
        <v>3178112498.6791101</v>
      </c>
      <c r="AY226" s="12">
        <v>3291330019.1728702</v>
      </c>
      <c r="AZ226" s="12">
        <v>3469381231.49049</v>
      </c>
      <c r="BA226" s="12">
        <v>3294084314.1505799</v>
      </c>
      <c r="BB226" s="12">
        <v>3580428052.81393</v>
      </c>
      <c r="BC226" s="12">
        <v>4438765085.9378405</v>
      </c>
      <c r="BD226" s="12">
        <v>4820478680.1837502</v>
      </c>
      <c r="BE226" s="12">
        <v>4886551483.9337397</v>
      </c>
      <c r="BF226" s="12">
        <v>4597552981.56738</v>
      </c>
      <c r="BG226" s="12">
        <v>4422986271.7476702</v>
      </c>
      <c r="BH226" s="12">
        <v>4063245671.29285</v>
      </c>
      <c r="BI226" s="12">
        <v>3816019193.1656098</v>
      </c>
      <c r="BJ226" s="12">
        <v>4402969225.9216499</v>
      </c>
      <c r="BK226" s="12">
        <v>4666598024.1841097</v>
      </c>
      <c r="BL226" s="12">
        <v>4466214591.1485395</v>
      </c>
      <c r="BM226" s="12">
        <v>3982236692.5523601</v>
      </c>
      <c r="BN226" s="12">
        <v>4850842571.5915098</v>
      </c>
      <c r="BO226" s="12">
        <v>4790922065.6100998</v>
      </c>
    </row>
    <row r="227" spans="1:67" x14ac:dyDescent="0.2">
      <c r="A227" s="12" t="s">
        <v>1084</v>
      </c>
      <c r="B227" s="12" t="s">
        <v>1085</v>
      </c>
      <c r="C227" s="12" t="s">
        <v>978</v>
      </c>
      <c r="D227" s="12" t="s">
        <v>979</v>
      </c>
      <c r="BD227" s="12">
        <v>936089385.47485995</v>
      </c>
      <c r="BE227" s="12">
        <v>985865921.787709</v>
      </c>
      <c r="BF227" s="12">
        <v>1022905027.93296</v>
      </c>
      <c r="BG227" s="12">
        <v>1361811520.80425</v>
      </c>
      <c r="BH227" s="12">
        <v>1417888712.18062</v>
      </c>
      <c r="BI227" s="12">
        <v>1427017201.87971</v>
      </c>
      <c r="BJ227" s="12">
        <v>1353212141.4405301</v>
      </c>
      <c r="BK227" s="12">
        <v>1259200442.69574</v>
      </c>
      <c r="BL227" s="12">
        <v>1407880465.5511999</v>
      </c>
      <c r="BM227" s="12">
        <v>1236428075.4211199</v>
      </c>
      <c r="BN227" s="12">
        <v>1353071060.2651999</v>
      </c>
      <c r="BO227" s="12">
        <v>1537088724.4612601</v>
      </c>
    </row>
    <row r="228" spans="1:67" x14ac:dyDescent="0.2">
      <c r="A228" s="12" t="s">
        <v>111</v>
      </c>
      <c r="B228" s="12" t="s">
        <v>110</v>
      </c>
      <c r="C228" s="12" t="s">
        <v>978</v>
      </c>
      <c r="D228" s="12" t="s">
        <v>979</v>
      </c>
      <c r="E228" s="12">
        <v>12012024.624650501</v>
      </c>
      <c r="F228" s="12">
        <v>11592023.7636487</v>
      </c>
      <c r="G228" s="12">
        <v>12642025.916153099</v>
      </c>
      <c r="H228" s="12">
        <v>13923028.5422085</v>
      </c>
      <c r="I228" s="12">
        <v>15393031.5557147</v>
      </c>
      <c r="J228" s="12">
        <v>15603031.986215601</v>
      </c>
      <c r="K228" s="12">
        <v>16443033.7082191</v>
      </c>
      <c r="L228" s="12">
        <v>16632032.133997399</v>
      </c>
      <c r="M228" s="12">
        <v>16074027.6473276</v>
      </c>
      <c r="N228" s="12">
        <v>16452028.297488701</v>
      </c>
      <c r="O228" s="12">
        <v>18432031.703094501</v>
      </c>
      <c r="P228" s="12">
        <v>21965950.7711142</v>
      </c>
      <c r="Q228" s="12">
        <v>30645122.9204727</v>
      </c>
      <c r="R228" s="12">
        <v>36896280.476410396</v>
      </c>
      <c r="S228" s="12">
        <v>43134496.1645367</v>
      </c>
      <c r="T228" s="12">
        <v>47803145.948098503</v>
      </c>
      <c r="U228" s="12">
        <v>49278981.755070098</v>
      </c>
      <c r="V228" s="12">
        <v>64526401.463854402</v>
      </c>
      <c r="W228" s="12">
        <v>85552365.8005137</v>
      </c>
      <c r="X228" s="12">
        <v>127261099.223864</v>
      </c>
      <c r="Y228" s="12">
        <v>156783829.540281</v>
      </c>
      <c r="Z228" s="12">
        <v>163750728.21134099</v>
      </c>
      <c r="AA228" s="12">
        <v>157211789.70543</v>
      </c>
      <c r="AB228" s="12">
        <v>156098236.95756999</v>
      </c>
      <c r="AC228" s="12">
        <v>160992921.00134501</v>
      </c>
      <c r="AD228" s="12">
        <v>179691482.68100199</v>
      </c>
      <c r="AE228" s="12">
        <v>221147061.34834999</v>
      </c>
      <c r="AF228" s="12">
        <v>265212956.90291899</v>
      </c>
      <c r="AG228" s="12">
        <v>301985618.111561</v>
      </c>
      <c r="AH228" s="12">
        <v>324333366.45637703</v>
      </c>
      <c r="AI228" s="12">
        <v>392163560.87991202</v>
      </c>
      <c r="AJ228" s="12">
        <v>398307169.86040503</v>
      </c>
      <c r="AK228" s="12">
        <v>461409398.85589302</v>
      </c>
      <c r="AL228" s="12">
        <v>504230620.551871</v>
      </c>
      <c r="AM228" s="12">
        <v>517570058.151034</v>
      </c>
      <c r="AN228" s="12">
        <v>540733047.73304796</v>
      </c>
      <c r="AO228" s="12">
        <v>535250347.08947903</v>
      </c>
      <c r="AP228" s="12">
        <v>598966982.35018599</v>
      </c>
      <c r="AQ228" s="12">
        <v>647287375.76252794</v>
      </c>
      <c r="AR228" s="12">
        <v>662838614.880674</v>
      </c>
      <c r="AS228" s="12">
        <v>654212394.27163994</v>
      </c>
      <c r="AT228" s="12">
        <v>662064155.92069197</v>
      </c>
      <c r="AU228" s="12">
        <v>742134837.50918996</v>
      </c>
      <c r="AV228" s="12">
        <v>750847230.09926295</v>
      </c>
      <c r="AW228" s="12">
        <v>893012218.18181801</v>
      </c>
      <c r="AX228" s="12">
        <v>977899381.81818199</v>
      </c>
      <c r="AY228" s="12">
        <v>1081441283.3179801</v>
      </c>
      <c r="AZ228" s="12">
        <v>1077308813.8294499</v>
      </c>
      <c r="BA228" s="12">
        <v>979597394.29345298</v>
      </c>
      <c r="BB228" s="12">
        <v>851064347.08749604</v>
      </c>
      <c r="BC228" s="12">
        <v>981917973.65492201</v>
      </c>
      <c r="BD228" s="12">
        <v>1059249931.66967</v>
      </c>
      <c r="BE228" s="12">
        <v>1089880685.4712999</v>
      </c>
      <c r="BF228" s="12">
        <v>1324915185.0959001</v>
      </c>
      <c r="BG228" s="12">
        <v>1387576450.1433401</v>
      </c>
      <c r="BH228" s="12">
        <v>1391427967.33495</v>
      </c>
      <c r="BI228" s="12">
        <v>1458954073.3068099</v>
      </c>
      <c r="BJ228" s="12">
        <v>1529773473.3115301</v>
      </c>
      <c r="BK228" s="12">
        <v>1588050311.1645401</v>
      </c>
      <c r="BL228" s="12">
        <v>1645090567.0461199</v>
      </c>
      <c r="BM228" s="12">
        <v>1183515314.03478</v>
      </c>
      <c r="BN228" s="12">
        <v>1286687308.25807</v>
      </c>
      <c r="BO228" s="12">
        <v>1588438144.3768499</v>
      </c>
    </row>
    <row r="229" spans="1:67" x14ac:dyDescent="0.2">
      <c r="A229" s="12" t="s">
        <v>277</v>
      </c>
      <c r="B229" s="12" t="s">
        <v>276</v>
      </c>
      <c r="C229" s="12" t="s">
        <v>978</v>
      </c>
      <c r="D229" s="12" t="s">
        <v>979</v>
      </c>
      <c r="E229" s="12">
        <v>857704413.40782106</v>
      </c>
      <c r="F229" s="12">
        <v>945244972.06703901</v>
      </c>
      <c r="G229" s="12">
        <v>1110565880.75881</v>
      </c>
      <c r="H229" s="12">
        <v>1200447408.37696</v>
      </c>
      <c r="I229" s="12">
        <v>1339494267.0157101</v>
      </c>
      <c r="J229" s="12">
        <v>1329842434.55497</v>
      </c>
      <c r="K229" s="12">
        <v>1321204502.6178</v>
      </c>
      <c r="L229" s="12">
        <v>1443717801.0471201</v>
      </c>
      <c r="M229" s="12">
        <v>1562303429.31937</v>
      </c>
      <c r="N229" s="12">
        <v>1796596910.99476</v>
      </c>
      <c r="O229" s="12">
        <v>1780104712.0418799</v>
      </c>
      <c r="P229" s="12">
        <v>2097643979.05759</v>
      </c>
      <c r="Q229" s="12">
        <v>2415706806.2827201</v>
      </c>
      <c r="R229" s="12">
        <v>2579219250.6375499</v>
      </c>
      <c r="S229" s="12">
        <v>4244669785.0501399</v>
      </c>
      <c r="T229" s="12">
        <v>5566756756.7567596</v>
      </c>
      <c r="U229" s="12">
        <v>6417632253.1898003</v>
      </c>
      <c r="V229" s="12">
        <v>6882292993.6305704</v>
      </c>
      <c r="W229" s="12">
        <v>8251974522.2929897</v>
      </c>
      <c r="X229" s="12">
        <v>9929681528.6624203</v>
      </c>
      <c r="Y229" s="12">
        <v>13062420382.1656</v>
      </c>
      <c r="Z229" s="12">
        <v>16758471337.579599</v>
      </c>
      <c r="AA229" s="12">
        <v>17525605095.541401</v>
      </c>
      <c r="AB229" s="12">
        <v>18672866242.0382</v>
      </c>
      <c r="AC229" s="12">
        <v>19195414012.738899</v>
      </c>
      <c r="AD229" s="12">
        <v>21203821656.050999</v>
      </c>
      <c r="AE229" s="12">
        <v>25460636942.675201</v>
      </c>
      <c r="AF229" s="12">
        <v>32538089171.974499</v>
      </c>
      <c r="AG229" s="12">
        <v>16574342984.4098</v>
      </c>
      <c r="AH229" s="12">
        <v>18609532293.986599</v>
      </c>
      <c r="AI229" s="12">
        <v>23904498886.414299</v>
      </c>
      <c r="AJ229" s="12">
        <v>27756258351.893101</v>
      </c>
      <c r="AK229" s="12">
        <v>33107349665.924301</v>
      </c>
      <c r="AL229" s="12">
        <v>36860133630.289497</v>
      </c>
      <c r="AM229" s="12">
        <v>45086948775.055702</v>
      </c>
      <c r="AN229" s="12">
        <v>50866369710.467697</v>
      </c>
      <c r="AO229" s="12">
        <v>61546280623.608002</v>
      </c>
      <c r="AP229" s="12">
        <v>66420400890.868599</v>
      </c>
      <c r="AQ229" s="12">
        <v>70418173719.376404</v>
      </c>
      <c r="AR229" s="12">
        <v>72970334075.723801</v>
      </c>
      <c r="AS229" s="12">
        <v>80590022271.714905</v>
      </c>
      <c r="AT229" s="12">
        <v>86771314031.180405</v>
      </c>
      <c r="AU229" s="12">
        <v>90558485523.3853</v>
      </c>
      <c r="AV229" s="12">
        <v>95693808463.251694</v>
      </c>
      <c r="AW229" s="12">
        <v>112863340757.23801</v>
      </c>
      <c r="AX229" s="12">
        <v>134203830734.967</v>
      </c>
      <c r="AY229" s="12">
        <v>153799910913.14001</v>
      </c>
      <c r="AZ229" s="12">
        <v>180030111358.57501</v>
      </c>
      <c r="BA229" s="12">
        <v>218089977728.285</v>
      </c>
      <c r="BB229" s="12">
        <v>224561692650.33401</v>
      </c>
      <c r="BC229" s="12">
        <v>252518218262.806</v>
      </c>
      <c r="BD229" s="12">
        <v>67539428159.447403</v>
      </c>
      <c r="BE229" s="12">
        <v>43190318032.562698</v>
      </c>
      <c r="BF229" s="12">
        <v>21361254634.933601</v>
      </c>
      <c r="BG229" s="12">
        <v>21502061466.067001</v>
      </c>
      <c r="BH229" s="12">
        <v>16468399173.000601</v>
      </c>
      <c r="BI229" s="12">
        <v>12598742889.273199</v>
      </c>
      <c r="BJ229" s="12">
        <v>16369724424.258499</v>
      </c>
      <c r="BK229" s="12">
        <v>21496337948.9175</v>
      </c>
      <c r="BL229" s="12">
        <v>22600896342.939899</v>
      </c>
      <c r="BM229" s="12">
        <v>11156757922.0385</v>
      </c>
      <c r="BN229" s="12">
        <v>8969512933.3882599</v>
      </c>
    </row>
    <row r="230" spans="1:67" x14ac:dyDescent="0.2">
      <c r="A230" s="12" t="s">
        <v>960</v>
      </c>
      <c r="B230" s="12" t="s">
        <v>1086</v>
      </c>
      <c r="C230" s="12" t="s">
        <v>978</v>
      </c>
      <c r="D230" s="12" t="s">
        <v>979</v>
      </c>
      <c r="AT230" s="12">
        <v>358744800</v>
      </c>
      <c r="AU230" s="12">
        <v>366707900</v>
      </c>
      <c r="AV230" s="12">
        <v>409753600</v>
      </c>
      <c r="AW230" s="12">
        <v>485598800</v>
      </c>
      <c r="AX230" s="12">
        <v>578645800</v>
      </c>
      <c r="AY230" s="12">
        <v>721891500</v>
      </c>
      <c r="AZ230" s="12">
        <v>773489700</v>
      </c>
      <c r="BA230" s="12">
        <v>862683600</v>
      </c>
      <c r="BB230" s="12">
        <v>703175800</v>
      </c>
      <c r="BC230" s="12">
        <v>686787800</v>
      </c>
      <c r="BD230" s="12">
        <v>728789600</v>
      </c>
      <c r="BE230" s="12">
        <v>727161000</v>
      </c>
      <c r="BF230" s="12">
        <v>754238000</v>
      </c>
      <c r="BG230" s="12">
        <v>841070000</v>
      </c>
      <c r="BH230" s="12">
        <v>942070000</v>
      </c>
      <c r="BI230" s="12">
        <v>1032452000</v>
      </c>
      <c r="BJ230" s="12">
        <v>1022365000</v>
      </c>
      <c r="BK230" s="12">
        <v>1113178000</v>
      </c>
      <c r="BL230" s="12">
        <v>1197415000</v>
      </c>
      <c r="BM230" s="12">
        <v>924583000</v>
      </c>
      <c r="BN230" s="12">
        <v>1044778790</v>
      </c>
      <c r="BO230" s="12">
        <v>1138808881.0999999</v>
      </c>
    </row>
    <row r="231" spans="1:67" x14ac:dyDescent="0.2">
      <c r="A231" s="12" t="s">
        <v>333</v>
      </c>
      <c r="B231" s="12" t="s">
        <v>332</v>
      </c>
      <c r="C231" s="12" t="s">
        <v>978</v>
      </c>
      <c r="D231" s="12" t="s">
        <v>979</v>
      </c>
      <c r="E231" s="12">
        <v>313582728.14757401</v>
      </c>
      <c r="F231" s="12">
        <v>333975336.11072201</v>
      </c>
      <c r="G231" s="12">
        <v>357635713.41931999</v>
      </c>
      <c r="H231" s="12">
        <v>371767002.19488603</v>
      </c>
      <c r="I231" s="12">
        <v>392247517.72848201</v>
      </c>
      <c r="J231" s="12">
        <v>416926303.316872</v>
      </c>
      <c r="K231" s="12">
        <v>432794921.680489</v>
      </c>
      <c r="L231" s="12">
        <v>449826322.61345297</v>
      </c>
      <c r="M231" s="12">
        <v>453980096.20871103</v>
      </c>
      <c r="N231" s="12">
        <v>471635621.56159902</v>
      </c>
      <c r="O231" s="12">
        <v>469266736.65067703</v>
      </c>
      <c r="P231" s="12">
        <v>501866730.148987</v>
      </c>
      <c r="Q231" s="12">
        <v>585427546.79827201</v>
      </c>
      <c r="R231" s="12">
        <v>647199482.98253703</v>
      </c>
      <c r="S231" s="12">
        <v>652532795.08480501</v>
      </c>
      <c r="T231" s="12">
        <v>864602104.67965305</v>
      </c>
      <c r="U231" s="12">
        <v>866044962.01627398</v>
      </c>
      <c r="V231" s="12">
        <v>935360464.70134103</v>
      </c>
      <c r="W231" s="12">
        <v>1113920123.76723</v>
      </c>
      <c r="X231" s="12">
        <v>1004316496.35051</v>
      </c>
      <c r="Y231" s="12">
        <v>1033002403.85304</v>
      </c>
      <c r="Z231" s="12">
        <v>876937558.27375698</v>
      </c>
      <c r="AA231" s="12">
        <v>834369859.66301799</v>
      </c>
      <c r="AB231" s="12">
        <v>832415806.01006401</v>
      </c>
      <c r="AC231" s="12">
        <v>919103734.87699604</v>
      </c>
      <c r="AD231" s="12">
        <v>1033069709.3319</v>
      </c>
      <c r="AE231" s="12">
        <v>1067828245.86207</v>
      </c>
      <c r="AF231" s="12">
        <v>1163426852.2044201</v>
      </c>
      <c r="AG231" s="12">
        <v>1482597297.98821</v>
      </c>
      <c r="AH231" s="12">
        <v>1433686312.02914</v>
      </c>
      <c r="AI231" s="12">
        <v>1738605557.7631299</v>
      </c>
      <c r="AJ231" s="12">
        <v>1877137981.7571199</v>
      </c>
      <c r="AK231" s="12">
        <v>1881847669.6979401</v>
      </c>
      <c r="AL231" s="12">
        <v>1463251163.9188001</v>
      </c>
      <c r="AM231" s="12">
        <v>1179837963.2221301</v>
      </c>
      <c r="AN231" s="12">
        <v>1445919894.5766101</v>
      </c>
      <c r="AO231" s="12">
        <v>1607345355.78298</v>
      </c>
      <c r="AP231" s="12">
        <v>1544689576.92712</v>
      </c>
      <c r="AQ231" s="12">
        <v>1744794531.21401</v>
      </c>
      <c r="AR231" s="12">
        <v>1534673583.2486999</v>
      </c>
      <c r="AS231" s="12">
        <v>1388506771.5875599</v>
      </c>
      <c r="AT231" s="12">
        <v>1710843377.0011899</v>
      </c>
      <c r="AU231" s="12">
        <v>1997005708.8157599</v>
      </c>
      <c r="AV231" s="12">
        <v>2742815071.5743999</v>
      </c>
      <c r="AW231" s="12">
        <v>4422855660.8259201</v>
      </c>
      <c r="AX231" s="12">
        <v>6649307523.6437702</v>
      </c>
      <c r="AY231" s="12">
        <v>7428701453.9150896</v>
      </c>
      <c r="AZ231" s="12">
        <v>8650137743.32547</v>
      </c>
      <c r="BA231" s="12">
        <v>10393833765.365101</v>
      </c>
      <c r="BB231" s="12">
        <v>9290728318.9882107</v>
      </c>
      <c r="BC231" s="12">
        <v>10668103554.1192</v>
      </c>
      <c r="BD231" s="12">
        <v>12172308851.039499</v>
      </c>
      <c r="BE231" s="12">
        <v>12367362757.134199</v>
      </c>
      <c r="BF231" s="12">
        <v>12953534866.4286</v>
      </c>
      <c r="BG231" s="12">
        <v>13940767218.5849</v>
      </c>
      <c r="BH231" s="12">
        <v>10950392256.9543</v>
      </c>
      <c r="BI231" s="12">
        <v>10097778098.1707</v>
      </c>
      <c r="BJ231" s="12">
        <v>10000394381.0177</v>
      </c>
      <c r="BK231" s="12">
        <v>11239167898.3395</v>
      </c>
      <c r="BL231" s="12">
        <v>11314951091.7283</v>
      </c>
      <c r="BM231" s="12">
        <v>10715396042.334299</v>
      </c>
      <c r="BN231" s="12">
        <v>11779981332.8631</v>
      </c>
      <c r="BO231" s="12">
        <v>12704149840.2283</v>
      </c>
    </row>
    <row r="232" spans="1:67" x14ac:dyDescent="0.2">
      <c r="A232" s="12" t="s">
        <v>1087</v>
      </c>
      <c r="B232" s="12" t="s">
        <v>1088</v>
      </c>
      <c r="C232" s="12" t="s">
        <v>978</v>
      </c>
      <c r="D232" s="12" t="s">
        <v>979</v>
      </c>
      <c r="E232" s="12">
        <v>80911608954.486694</v>
      </c>
      <c r="F232" s="12">
        <v>71369633800.954193</v>
      </c>
      <c r="G232" s="12">
        <v>65176021558.854599</v>
      </c>
      <c r="H232" s="12">
        <v>70511435007.394501</v>
      </c>
      <c r="I232" s="12">
        <v>81386349482.750702</v>
      </c>
      <c r="J232" s="12">
        <v>94785047708.444</v>
      </c>
      <c r="K232" s="12">
        <v>103660508732.117</v>
      </c>
      <c r="L232" s="12">
        <v>100730137280.181</v>
      </c>
      <c r="M232" s="12">
        <v>101931885333.332</v>
      </c>
      <c r="N232" s="12">
        <v>114393990287.83</v>
      </c>
      <c r="O232" s="12">
        <v>127001340199.26199</v>
      </c>
      <c r="P232" s="12">
        <v>136588746187.87399</v>
      </c>
      <c r="Q232" s="12">
        <v>154903886213.83401</v>
      </c>
      <c r="R232" s="12">
        <v>194917492496.52701</v>
      </c>
      <c r="S232" s="12">
        <v>220680062228.99301</v>
      </c>
      <c r="T232" s="12">
        <v>247676641635.42499</v>
      </c>
      <c r="U232" s="12">
        <v>251810418534.995</v>
      </c>
      <c r="V232" s="12">
        <v>290442692872.47101</v>
      </c>
      <c r="W232" s="12">
        <v>353500246204.13501</v>
      </c>
      <c r="X232" s="12">
        <v>415284953507.98499</v>
      </c>
      <c r="Y232" s="12">
        <v>496343317295.53302</v>
      </c>
      <c r="Z232" s="12">
        <v>499647851491.15601</v>
      </c>
      <c r="AA232" s="12">
        <v>504493686882.60901</v>
      </c>
      <c r="AB232" s="12">
        <v>519430824170.31201</v>
      </c>
      <c r="AC232" s="12">
        <v>535437842811.72302</v>
      </c>
      <c r="AD232" s="12">
        <v>525937983887.20001</v>
      </c>
      <c r="AE232" s="12">
        <v>523872370537.85797</v>
      </c>
      <c r="AF232" s="12">
        <v>572424015653.474</v>
      </c>
      <c r="AG232" s="12">
        <v>670392652027.026</v>
      </c>
      <c r="AH232" s="12">
        <v>730457643223.58203</v>
      </c>
      <c r="AI232" s="12">
        <v>699931258166.72803</v>
      </c>
      <c r="AJ232" s="12">
        <v>752432351747.37</v>
      </c>
      <c r="AK232" s="12">
        <v>876266386396.82397</v>
      </c>
      <c r="AL232" s="12">
        <v>1063972475369.76</v>
      </c>
      <c r="AM232" s="12">
        <v>1070596761938.34</v>
      </c>
      <c r="AN232" s="12">
        <v>1320494506325.3899</v>
      </c>
      <c r="AO232" s="12">
        <v>1516559018018.29</v>
      </c>
      <c r="AP232" s="12">
        <v>1568778371281.75</v>
      </c>
      <c r="AQ232" s="12">
        <v>1431500901662.5801</v>
      </c>
      <c r="AR232" s="12">
        <v>1576186529001.3301</v>
      </c>
      <c r="AS232" s="12">
        <v>1734113865557.1699</v>
      </c>
      <c r="AT232" s="12">
        <v>1844967780095.8601</v>
      </c>
      <c r="AU232" s="12">
        <v>2041967134708.25</v>
      </c>
      <c r="AV232" s="12">
        <v>2311121145269.9199</v>
      </c>
      <c r="AW232" s="12">
        <v>2679749403397.96</v>
      </c>
      <c r="AX232" s="12">
        <v>3104002019660.1499</v>
      </c>
      <c r="AY232" s="12">
        <v>3738289871387.02</v>
      </c>
      <c r="AZ232" s="12">
        <v>4726056492626.0596</v>
      </c>
      <c r="BA232" s="12">
        <v>5979810899729.6299</v>
      </c>
      <c r="BB232" s="12">
        <v>6483330322061.2998</v>
      </c>
      <c r="BC232" s="12">
        <v>7890849701684.8398</v>
      </c>
      <c r="BD232" s="12">
        <v>9638828252887.6797</v>
      </c>
      <c r="BE232" s="12">
        <v>10746699916765.301</v>
      </c>
      <c r="BF232" s="12">
        <v>11855460858548.1</v>
      </c>
      <c r="BG232" s="12">
        <v>12784356235858.6</v>
      </c>
      <c r="BH232" s="12">
        <v>13306939164821.9</v>
      </c>
      <c r="BI232" s="12">
        <v>13597778727368.9</v>
      </c>
      <c r="BJ232" s="12">
        <v>14862792217017.199</v>
      </c>
      <c r="BK232" s="12">
        <v>16619858519557.6</v>
      </c>
      <c r="BL232" s="12">
        <v>17192007435430.801</v>
      </c>
      <c r="BM232" s="12">
        <v>17465796008751.6</v>
      </c>
      <c r="BN232" s="12">
        <v>20813163295456.102</v>
      </c>
      <c r="BO232" s="12">
        <v>21167325456079.398</v>
      </c>
    </row>
    <row r="233" spans="1:67" x14ac:dyDescent="0.2">
      <c r="A233" s="12" t="s">
        <v>1089</v>
      </c>
      <c r="B233" s="12" t="s">
        <v>1090</v>
      </c>
      <c r="C233" s="12" t="s">
        <v>978</v>
      </c>
      <c r="D233" s="12" t="s">
        <v>979</v>
      </c>
      <c r="AG233" s="12">
        <v>976593219923.99194</v>
      </c>
      <c r="AH233" s="12">
        <v>945255042383.31995</v>
      </c>
      <c r="AI233" s="12">
        <v>1004870546469.25</v>
      </c>
      <c r="AJ233" s="12">
        <v>995788653279.65405</v>
      </c>
      <c r="AK233" s="12">
        <v>931485784159.17395</v>
      </c>
      <c r="AL233" s="12">
        <v>928725528824.84802</v>
      </c>
      <c r="AM233" s="12">
        <v>834828070354.58301</v>
      </c>
      <c r="AN233" s="12">
        <v>924001755656.67102</v>
      </c>
      <c r="AO233" s="12">
        <v>950621808513.41003</v>
      </c>
      <c r="AP233" s="12">
        <v>980496944235.474</v>
      </c>
      <c r="AQ233" s="12">
        <v>947828018893.93396</v>
      </c>
      <c r="AR233" s="12">
        <v>821675351388.16895</v>
      </c>
      <c r="AS233" s="12">
        <v>894544565018.17603</v>
      </c>
      <c r="AT233" s="12">
        <v>909540950477.43201</v>
      </c>
      <c r="AU233" s="12">
        <v>1022699839151.1</v>
      </c>
      <c r="AV233" s="12">
        <v>1258196358985.5601</v>
      </c>
      <c r="AW233" s="12">
        <v>1628013641798.5</v>
      </c>
      <c r="AX233" s="12">
        <v>2039291684089.26</v>
      </c>
      <c r="AY233" s="12">
        <v>2466363755929.98</v>
      </c>
      <c r="AZ233" s="12">
        <v>3172403579220.1699</v>
      </c>
      <c r="BA233" s="12">
        <v>3926829039903.4199</v>
      </c>
      <c r="BB233" s="12">
        <v>3113730517230.9199</v>
      </c>
      <c r="BC233" s="12">
        <v>3657668750248.0801</v>
      </c>
      <c r="BD233" s="12">
        <v>4449815096966.3896</v>
      </c>
      <c r="BE233" s="12">
        <v>4646400812533.9805</v>
      </c>
      <c r="BF233" s="12">
        <v>4915322787867.5498</v>
      </c>
      <c r="BG233" s="12">
        <v>4643909258334.6699</v>
      </c>
      <c r="BH233" s="12">
        <v>3627524552717.48</v>
      </c>
      <c r="BI233" s="12">
        <v>3485669672370.6099</v>
      </c>
      <c r="BJ233" s="12">
        <v>3909241583631.23</v>
      </c>
      <c r="BK233" s="12">
        <v>4076953150706.8901</v>
      </c>
      <c r="BL233" s="12">
        <v>4159143876282.0801</v>
      </c>
      <c r="BM233" s="12">
        <v>3900173017455.4199</v>
      </c>
      <c r="BN233" s="12">
        <v>4616362221588.6699</v>
      </c>
      <c r="BO233" s="12">
        <v>5189746524698.2305</v>
      </c>
    </row>
    <row r="234" spans="1:67" x14ac:dyDescent="0.2">
      <c r="A234" s="12" t="s">
        <v>289</v>
      </c>
      <c r="B234" s="12" t="s">
        <v>288</v>
      </c>
      <c r="C234" s="12" t="s">
        <v>978</v>
      </c>
      <c r="D234" s="12" t="s">
        <v>979</v>
      </c>
      <c r="E234" s="12">
        <v>121128072.620015</v>
      </c>
      <c r="F234" s="12">
        <v>126396468.67634401</v>
      </c>
      <c r="G234" s="12">
        <v>132237468.076856</v>
      </c>
      <c r="H234" s="12">
        <v>143255813.159996</v>
      </c>
      <c r="I234" s="12">
        <v>166104078.47645199</v>
      </c>
      <c r="J234" s="12">
        <v>187300310.379132</v>
      </c>
      <c r="K234" s="12">
        <v>216136231.36164799</v>
      </c>
      <c r="L234" s="12">
        <v>231706439.67219299</v>
      </c>
      <c r="M234" s="12">
        <v>241956916.522192</v>
      </c>
      <c r="N234" s="12">
        <v>267732473.155718</v>
      </c>
      <c r="O234" s="12">
        <v>253976592.168706</v>
      </c>
      <c r="P234" s="12">
        <v>286537569.73637998</v>
      </c>
      <c r="Q234" s="12">
        <v>335677600.93221802</v>
      </c>
      <c r="R234" s="12">
        <v>406479937.16231602</v>
      </c>
      <c r="S234" s="12">
        <v>560437817.10124505</v>
      </c>
      <c r="T234" s="12">
        <v>617321669.39087701</v>
      </c>
      <c r="U234" s="12">
        <v>619375149.732898</v>
      </c>
      <c r="V234" s="12">
        <v>777435061.61337602</v>
      </c>
      <c r="W234" s="12">
        <v>824263987.649158</v>
      </c>
      <c r="X234" s="12">
        <v>891775722.17333901</v>
      </c>
      <c r="Y234" s="12">
        <v>1136409056.2383101</v>
      </c>
      <c r="Z234" s="12">
        <v>962347167.44402802</v>
      </c>
      <c r="AA234" s="12">
        <v>821652036.24411905</v>
      </c>
      <c r="AB234" s="12">
        <v>765746518.27537799</v>
      </c>
      <c r="AC234" s="12">
        <v>718149015.49070299</v>
      </c>
      <c r="AD234" s="12">
        <v>762359785.48714697</v>
      </c>
      <c r="AE234" s="12">
        <v>1060911723.00661</v>
      </c>
      <c r="AF234" s="12">
        <v>1249099287.9595101</v>
      </c>
      <c r="AG234" s="12">
        <v>1378847399.45348</v>
      </c>
      <c r="AH234" s="12">
        <v>1352949666.99283</v>
      </c>
      <c r="AI234" s="12">
        <v>1628427587.19133</v>
      </c>
      <c r="AJ234" s="12">
        <v>1602299811.8064499</v>
      </c>
      <c r="AK234" s="12">
        <v>1692959103.78425</v>
      </c>
      <c r="AL234" s="12">
        <v>1233496937.8139501</v>
      </c>
      <c r="AM234" s="12">
        <v>982624331.58526504</v>
      </c>
      <c r="AN234" s="12">
        <v>1309382817.12622</v>
      </c>
      <c r="AO234" s="12">
        <v>1465448204.40008</v>
      </c>
      <c r="AP234" s="12">
        <v>1498950970.99596</v>
      </c>
      <c r="AQ234" s="12">
        <v>1587346018.2402201</v>
      </c>
      <c r="AR234" s="12">
        <v>1576672666.1303401</v>
      </c>
      <c r="AS234" s="12">
        <v>1491891156.2718201</v>
      </c>
      <c r="AT234" s="12">
        <v>1482437766.2260101</v>
      </c>
      <c r="AU234" s="12">
        <v>1706698033.01876</v>
      </c>
      <c r="AV234" s="12">
        <v>2115836258.25578</v>
      </c>
      <c r="AW234" s="12">
        <v>2259992505.1489601</v>
      </c>
      <c r="AX234" s="12">
        <v>2281483015.5667</v>
      </c>
      <c r="AY234" s="12">
        <v>2351584495.8792</v>
      </c>
      <c r="AZ234" s="12">
        <v>3759962853.26476</v>
      </c>
      <c r="BA234" s="12">
        <v>4578847112.7068796</v>
      </c>
      <c r="BB234" s="12">
        <v>4721888275.2693701</v>
      </c>
      <c r="BC234" s="12">
        <v>4746386893.2255297</v>
      </c>
      <c r="BD234" s="12">
        <v>5422439152.1090603</v>
      </c>
      <c r="BE234" s="12">
        <v>5413541649.1490097</v>
      </c>
      <c r="BF234" s="12">
        <v>6021729629.8245401</v>
      </c>
      <c r="BG234" s="12">
        <v>6393314707.8545599</v>
      </c>
      <c r="BH234" s="12">
        <v>5755457836.0186596</v>
      </c>
      <c r="BI234" s="12">
        <v>6071167584.1950998</v>
      </c>
      <c r="BJ234" s="12">
        <v>6387424239.8801003</v>
      </c>
      <c r="BK234" s="12">
        <v>7029215766.4636698</v>
      </c>
      <c r="BL234" s="12">
        <v>6992654019.2887602</v>
      </c>
      <c r="BM234" s="12">
        <v>7486031561.8688498</v>
      </c>
      <c r="BN234" s="12">
        <v>8443112143.2384396</v>
      </c>
      <c r="BO234" s="12">
        <v>8341225241.4569302</v>
      </c>
    </row>
    <row r="235" spans="1:67" x14ac:dyDescent="0.2">
      <c r="A235" s="12" t="s">
        <v>51</v>
      </c>
      <c r="B235" s="12" t="s">
        <v>50</v>
      </c>
      <c r="C235" s="12" t="s">
        <v>978</v>
      </c>
      <c r="D235" s="12" t="s">
        <v>979</v>
      </c>
      <c r="E235" s="12">
        <v>2760750860.6219702</v>
      </c>
      <c r="F235" s="12">
        <v>3034037810.9679499</v>
      </c>
      <c r="G235" s="12">
        <v>3308912796.9348698</v>
      </c>
      <c r="H235" s="12">
        <v>3540403456.55305</v>
      </c>
      <c r="I235" s="12">
        <v>3889129942.3076901</v>
      </c>
      <c r="J235" s="12">
        <v>4388937649.0384598</v>
      </c>
      <c r="K235" s="12">
        <v>5279230817.3076897</v>
      </c>
      <c r="L235" s="12">
        <v>5638461442.3076897</v>
      </c>
      <c r="M235" s="12">
        <v>6081009427.8846102</v>
      </c>
      <c r="N235" s="12">
        <v>6695336567.3076897</v>
      </c>
      <c r="O235" s="12">
        <v>7086538437.5</v>
      </c>
      <c r="P235" s="12">
        <v>7375000024.0384598</v>
      </c>
      <c r="Q235" s="12">
        <v>8177873151.0422401</v>
      </c>
      <c r="R235" s="12">
        <v>10838587357.746599</v>
      </c>
      <c r="S235" s="12">
        <v>13702998512.4492</v>
      </c>
      <c r="T235" s="12">
        <v>14882770593.979601</v>
      </c>
      <c r="U235" s="12">
        <v>16985208648.211201</v>
      </c>
      <c r="V235" s="12">
        <v>19779312261.315498</v>
      </c>
      <c r="W235" s="12">
        <v>24006566636.685501</v>
      </c>
      <c r="X235" s="12">
        <v>27371650824.509201</v>
      </c>
      <c r="Y235" s="12">
        <v>32353514988.728699</v>
      </c>
      <c r="Z235" s="12">
        <v>34846039193.613098</v>
      </c>
      <c r="AA235" s="12">
        <v>36589772403.756599</v>
      </c>
      <c r="AB235" s="12">
        <v>40042798388.495102</v>
      </c>
      <c r="AC235" s="12">
        <v>41797647775.623802</v>
      </c>
      <c r="AD235" s="12">
        <v>38900711332.5373</v>
      </c>
      <c r="AE235" s="12">
        <v>43096773980.856903</v>
      </c>
      <c r="AF235" s="12">
        <v>50535446554.8769</v>
      </c>
      <c r="AG235" s="12">
        <v>61667253471.373596</v>
      </c>
      <c r="AH235" s="12">
        <v>72250748099.976196</v>
      </c>
      <c r="AI235" s="12">
        <v>85343190719.010696</v>
      </c>
      <c r="AJ235" s="12">
        <v>98234714971.061203</v>
      </c>
      <c r="AK235" s="12">
        <v>111452746517.655</v>
      </c>
      <c r="AL235" s="12">
        <v>128889262951.157</v>
      </c>
      <c r="AM235" s="12">
        <v>146683778959.10101</v>
      </c>
      <c r="AN235" s="12">
        <v>169278916592.84299</v>
      </c>
      <c r="AO235" s="12">
        <v>183035237429.28101</v>
      </c>
      <c r="AP235" s="12">
        <v>150180456565.728</v>
      </c>
      <c r="AQ235" s="12">
        <v>113675596787.73801</v>
      </c>
      <c r="AR235" s="12">
        <v>126669211778.94</v>
      </c>
      <c r="AS235" s="12">
        <v>126392224253.79401</v>
      </c>
      <c r="AT235" s="12">
        <v>120296476180.40199</v>
      </c>
      <c r="AU235" s="12">
        <v>134300904400.022</v>
      </c>
      <c r="AV235" s="12">
        <v>152280615245.88699</v>
      </c>
      <c r="AW235" s="12">
        <v>172895685154.65799</v>
      </c>
      <c r="AX235" s="12">
        <v>189318408468.595</v>
      </c>
      <c r="AY235" s="12">
        <v>221758296021.621</v>
      </c>
      <c r="AZ235" s="12">
        <v>262942621455.05301</v>
      </c>
      <c r="BA235" s="12">
        <v>291382982430.95099</v>
      </c>
      <c r="BB235" s="12">
        <v>281710630187.31897</v>
      </c>
      <c r="BC235" s="12">
        <v>341104766329.16998</v>
      </c>
      <c r="BD235" s="12">
        <v>370818739623.62201</v>
      </c>
      <c r="BE235" s="12">
        <v>397558325278.57898</v>
      </c>
      <c r="BF235" s="12">
        <v>420333654592.547</v>
      </c>
      <c r="BG235" s="12">
        <v>407339040197.651</v>
      </c>
      <c r="BH235" s="12">
        <v>401296238228.08398</v>
      </c>
      <c r="BI235" s="12">
        <v>413366349747.508</v>
      </c>
      <c r="BJ235" s="12">
        <v>456356813536.76398</v>
      </c>
      <c r="BK235" s="12">
        <v>506754208404.48499</v>
      </c>
      <c r="BL235" s="12">
        <v>543976691793.88599</v>
      </c>
      <c r="BM235" s="12">
        <v>500457264955.763</v>
      </c>
      <c r="BN235" s="12">
        <v>505568063988.80603</v>
      </c>
      <c r="BO235" s="12">
        <v>495423343049.62201</v>
      </c>
    </row>
    <row r="236" spans="1:67" x14ac:dyDescent="0.2">
      <c r="A236" s="12" t="s">
        <v>209</v>
      </c>
      <c r="B236" s="12" t="s">
        <v>208</v>
      </c>
      <c r="C236" s="12" t="s">
        <v>978</v>
      </c>
      <c r="D236" s="12" t="s">
        <v>979</v>
      </c>
      <c r="AI236" s="12">
        <v>2629395066.2701702</v>
      </c>
      <c r="AJ236" s="12">
        <v>2536585365.8536601</v>
      </c>
      <c r="AK236" s="12">
        <v>1909246640.78093</v>
      </c>
      <c r="AL236" s="12">
        <v>1646693642.1212699</v>
      </c>
      <c r="AM236" s="12">
        <v>1522018435.7070501</v>
      </c>
      <c r="AN236" s="12">
        <v>1231567145.36448</v>
      </c>
      <c r="AO236" s="12">
        <v>1043654822.33503</v>
      </c>
      <c r="AP236" s="12">
        <v>921517486.66817701</v>
      </c>
      <c r="AQ236" s="12">
        <v>1320199581.5226099</v>
      </c>
      <c r="AR236" s="12">
        <v>1086612582.8636601</v>
      </c>
      <c r="AS236" s="12">
        <v>860541842.26369703</v>
      </c>
      <c r="AT236" s="12">
        <v>1080772703.1461</v>
      </c>
      <c r="AU236" s="12">
        <v>1221106073.04545</v>
      </c>
      <c r="AV236" s="12">
        <v>1555318430.74928</v>
      </c>
      <c r="AW236" s="12">
        <v>2076176636.4575801</v>
      </c>
      <c r="AX236" s="12">
        <v>2312352267.9624801</v>
      </c>
      <c r="AY236" s="12">
        <v>2830213562.6307702</v>
      </c>
      <c r="AZ236" s="12">
        <v>3719524180.7389002</v>
      </c>
      <c r="BA236" s="12">
        <v>5161299725.2767296</v>
      </c>
      <c r="BB236" s="12">
        <v>4979471963.8318701</v>
      </c>
      <c r="BC236" s="12">
        <v>5642221528.6281996</v>
      </c>
      <c r="BD236" s="12">
        <v>6522755783.4397202</v>
      </c>
      <c r="BE236" s="12">
        <v>7633036366.0886202</v>
      </c>
      <c r="BF236" s="12">
        <v>8448410727.2135296</v>
      </c>
      <c r="BG236" s="12">
        <v>9112606074.4556198</v>
      </c>
      <c r="BH236" s="12">
        <v>8271431932.3920498</v>
      </c>
      <c r="BI236" s="12">
        <v>6992416096.8901796</v>
      </c>
      <c r="BJ236" s="12">
        <v>7536403146.6543903</v>
      </c>
      <c r="BK236" s="12">
        <v>7765000282.2656898</v>
      </c>
      <c r="BL236" s="12">
        <v>8300813889.6079502</v>
      </c>
      <c r="BM236" s="12">
        <v>8133963813.0702496</v>
      </c>
      <c r="BN236" s="12">
        <v>8937805347.1396294</v>
      </c>
      <c r="BO236" s="12">
        <v>10492123387.7931</v>
      </c>
    </row>
    <row r="237" spans="1:67" x14ac:dyDescent="0.2">
      <c r="A237" s="12" t="s">
        <v>219</v>
      </c>
      <c r="B237" s="12" t="s">
        <v>218</v>
      </c>
      <c r="C237" s="12" t="s">
        <v>978</v>
      </c>
      <c r="D237" s="12" t="s">
        <v>979</v>
      </c>
      <c r="AF237" s="12">
        <v>2500000000</v>
      </c>
      <c r="AG237" s="12">
        <v>2700000000</v>
      </c>
      <c r="AH237" s="12">
        <v>2800000000</v>
      </c>
      <c r="AI237" s="12">
        <v>3000000000</v>
      </c>
      <c r="AJ237" s="12">
        <v>2950000000</v>
      </c>
      <c r="AK237" s="12">
        <v>3200000000</v>
      </c>
      <c r="AL237" s="12">
        <v>3180952380.9523802</v>
      </c>
      <c r="AM237" s="12">
        <v>2560939794.41997</v>
      </c>
      <c r="AN237" s="12">
        <v>2482249252.8505902</v>
      </c>
      <c r="AO237" s="12">
        <v>2378759975.4450598</v>
      </c>
      <c r="AP237" s="12">
        <v>2450350625.1040702</v>
      </c>
      <c r="AQ237" s="12">
        <v>2605689134.4904199</v>
      </c>
      <c r="AR237" s="12">
        <v>2450564100.18292</v>
      </c>
      <c r="AS237" s="12">
        <v>2904663310.9825001</v>
      </c>
      <c r="AT237" s="12">
        <v>3534772732.39746</v>
      </c>
      <c r="AU237" s="12">
        <v>4462029108.7234898</v>
      </c>
      <c r="AV237" s="12">
        <v>5977440582.8017101</v>
      </c>
      <c r="AW237" s="12">
        <v>6838351088.4668798</v>
      </c>
      <c r="AX237" s="12">
        <v>8103901996.3702402</v>
      </c>
      <c r="AY237" s="12">
        <v>10276674364.896099</v>
      </c>
      <c r="AZ237" s="12">
        <v>12664165103.189501</v>
      </c>
      <c r="BA237" s="12">
        <v>19271523178.807899</v>
      </c>
      <c r="BB237" s="12">
        <v>20214385964.9123</v>
      </c>
      <c r="BC237" s="12">
        <v>22583157894.736801</v>
      </c>
      <c r="BD237" s="12">
        <v>29233333333.333302</v>
      </c>
      <c r="BE237" s="12">
        <v>35164210526.315804</v>
      </c>
      <c r="BF237" s="12">
        <v>39197543859.649101</v>
      </c>
      <c r="BG237" s="12">
        <v>43524210526.315804</v>
      </c>
      <c r="BH237" s="12">
        <v>35799714285.714302</v>
      </c>
      <c r="BI237" s="12">
        <v>36169428571.428596</v>
      </c>
      <c r="BJ237" s="12">
        <v>37926285714.285698</v>
      </c>
      <c r="BK237" s="12">
        <v>40765428571.428596</v>
      </c>
      <c r="BL237" s="12">
        <v>45232857142.857101</v>
      </c>
      <c r="BM237" s="12">
        <v>45818000000</v>
      </c>
      <c r="BN237" s="12">
        <v>50007428571.428596</v>
      </c>
      <c r="BO237" s="12">
        <v>56542857142.857101</v>
      </c>
    </row>
    <row r="238" spans="1:67" x14ac:dyDescent="0.2">
      <c r="A238" s="12" t="s">
        <v>1091</v>
      </c>
      <c r="B238" s="12" t="s">
        <v>1092</v>
      </c>
      <c r="C238" s="12" t="s">
        <v>978</v>
      </c>
      <c r="D238" s="12" t="s">
        <v>979</v>
      </c>
      <c r="AH238" s="12">
        <v>942570159356.146</v>
      </c>
      <c r="AI238" s="12">
        <v>1109458099269.1499</v>
      </c>
      <c r="AJ238" s="12">
        <v>1187260885890.04</v>
      </c>
      <c r="AK238" s="12">
        <v>1293171728057.1201</v>
      </c>
      <c r="AL238" s="12">
        <v>1534916859960.3401</v>
      </c>
      <c r="AM238" s="12">
        <v>1733953770927.54</v>
      </c>
      <c r="AN238" s="12">
        <v>1853964429260.1001</v>
      </c>
      <c r="AO238" s="12">
        <v>2014992698592.3899</v>
      </c>
      <c r="AP238" s="12">
        <v>2210296016800.02</v>
      </c>
      <c r="AQ238" s="12">
        <v>2231266382090.1099</v>
      </c>
      <c r="AR238" s="12">
        <v>2000304935579.0801</v>
      </c>
      <c r="AS238" s="12">
        <v>2212445482711.9902</v>
      </c>
      <c r="AT238" s="12">
        <v>2159748619392.6299</v>
      </c>
      <c r="AU238" s="12">
        <v>1925774689420.98</v>
      </c>
      <c r="AV238" s="12">
        <v>1958739530341.29</v>
      </c>
      <c r="AW238" s="12">
        <v>2262602309478.6001</v>
      </c>
      <c r="AX238" s="12">
        <v>2749008665063.5601</v>
      </c>
      <c r="AY238" s="12">
        <v>3231124397066.96</v>
      </c>
      <c r="AZ238" s="12">
        <v>3822817021789.8999</v>
      </c>
      <c r="BA238" s="12">
        <v>4460896971421.8496</v>
      </c>
      <c r="BB238" s="12">
        <v>4173919028802.2598</v>
      </c>
      <c r="BC238" s="12">
        <v>5207430282655.2998</v>
      </c>
      <c r="BD238" s="12">
        <v>5935880342799.3398</v>
      </c>
      <c r="BE238" s="12">
        <v>6001429314837.8203</v>
      </c>
      <c r="BF238" s="12">
        <v>6148458445163.4902</v>
      </c>
      <c r="BG238" s="12">
        <v>6265139094657.6602</v>
      </c>
      <c r="BH238" s="12">
        <v>5192258651802.8604</v>
      </c>
      <c r="BI238" s="12">
        <v>5051195544946.5898</v>
      </c>
      <c r="BJ238" s="12">
        <v>5626747446682.6699</v>
      </c>
      <c r="BK238" s="12">
        <v>5500845963862.1602</v>
      </c>
      <c r="BL238" s="12">
        <v>5409465895796.1201</v>
      </c>
      <c r="BM238" s="12">
        <v>4561170249972.3398</v>
      </c>
      <c r="BN238" s="12">
        <v>5281323492901.4297</v>
      </c>
      <c r="BO238" s="12">
        <v>6001569526439.7695</v>
      </c>
    </row>
    <row r="239" spans="1:67" x14ac:dyDescent="0.2">
      <c r="A239" s="12" t="s">
        <v>379</v>
      </c>
      <c r="B239" s="12" t="s">
        <v>378</v>
      </c>
      <c r="C239" s="12" t="s">
        <v>978</v>
      </c>
      <c r="D239" s="12" t="s">
        <v>979</v>
      </c>
      <c r="AS239" s="12">
        <v>366924300</v>
      </c>
      <c r="AT239" s="12">
        <v>477443500</v>
      </c>
      <c r="AU239" s="12">
        <v>469455500</v>
      </c>
      <c r="AV239" s="12">
        <v>490439100</v>
      </c>
      <c r="AW239" s="12">
        <v>440772000</v>
      </c>
      <c r="AX239" s="12">
        <v>462268000</v>
      </c>
      <c r="AY239" s="12">
        <v>453792400</v>
      </c>
      <c r="AZ239" s="12">
        <v>542795400</v>
      </c>
      <c r="BA239" s="12">
        <v>648523600</v>
      </c>
      <c r="BB239" s="12">
        <v>726937800</v>
      </c>
      <c r="BC239" s="12">
        <v>881909300</v>
      </c>
      <c r="BD239" s="12">
        <v>1042534600</v>
      </c>
      <c r="BE239" s="12">
        <v>1160555000</v>
      </c>
      <c r="BF239" s="12">
        <v>1395727400</v>
      </c>
      <c r="BG239" s="12">
        <v>1447535200</v>
      </c>
      <c r="BH239" s="12">
        <v>1595205100</v>
      </c>
      <c r="BI239" s="12">
        <v>1652603700</v>
      </c>
      <c r="BJ239" s="12">
        <v>1598208400</v>
      </c>
      <c r="BK239" s="12">
        <v>1566157200</v>
      </c>
      <c r="BL239" s="12">
        <v>2027034000</v>
      </c>
      <c r="BM239" s="12">
        <v>2162619200</v>
      </c>
      <c r="BN239" s="12">
        <v>3621958000</v>
      </c>
      <c r="BO239" s="12">
        <v>3204753000</v>
      </c>
    </row>
    <row r="240" spans="1:67" x14ac:dyDescent="0.2">
      <c r="A240" s="12" t="s">
        <v>1093</v>
      </c>
      <c r="B240" s="12" t="s">
        <v>1094</v>
      </c>
      <c r="C240" s="12" t="s">
        <v>978</v>
      </c>
      <c r="D240" s="12" t="s">
        <v>979</v>
      </c>
      <c r="J240" s="12">
        <v>23672607232.2117</v>
      </c>
      <c r="K240" s="12">
        <v>24674793433.437099</v>
      </c>
      <c r="L240" s="12">
        <v>26712783205.733002</v>
      </c>
      <c r="M240" s="12">
        <v>29388713657.680901</v>
      </c>
      <c r="N240" s="12">
        <v>32606082514.423302</v>
      </c>
      <c r="O240" s="12">
        <v>36826855021.555496</v>
      </c>
      <c r="P240" s="12">
        <v>42220317424.507599</v>
      </c>
      <c r="Q240" s="12">
        <v>50378062887.892502</v>
      </c>
      <c r="R240" s="12">
        <v>66874919866.9935</v>
      </c>
      <c r="S240" s="12">
        <v>101944860557.69099</v>
      </c>
      <c r="T240" s="12">
        <v>118622198858.604</v>
      </c>
      <c r="U240" s="12">
        <v>146422013372.99899</v>
      </c>
      <c r="V240" s="12">
        <v>169454384907.85501</v>
      </c>
      <c r="W240" s="12">
        <v>182133796885.80701</v>
      </c>
      <c r="X240" s="12">
        <v>227176675156.15601</v>
      </c>
      <c r="Y240" s="12">
        <v>272046318977.35599</v>
      </c>
      <c r="Z240" s="12">
        <v>265491216823.89899</v>
      </c>
      <c r="AA240" s="12">
        <v>304509681682.11102</v>
      </c>
      <c r="AB240" s="12">
        <v>342217341130.24103</v>
      </c>
      <c r="AC240" s="12">
        <v>362311289706.53497</v>
      </c>
      <c r="AD240" s="12">
        <v>395025704487.70398</v>
      </c>
      <c r="AE240" s="12">
        <v>443928235117.52002</v>
      </c>
      <c r="AF240" s="12">
        <v>388227225201.30701</v>
      </c>
      <c r="AG240" s="12">
        <v>356406550348.24298</v>
      </c>
      <c r="AH240" s="12">
        <v>358405406493.10101</v>
      </c>
      <c r="AI240" s="12">
        <v>504208667612.75598</v>
      </c>
      <c r="AJ240" s="12">
        <v>267675262406.49799</v>
      </c>
      <c r="AK240" s="12">
        <v>297142477968.02399</v>
      </c>
      <c r="AL240" s="12">
        <v>310834752638.66101</v>
      </c>
      <c r="AM240" s="12">
        <v>339555359696.21698</v>
      </c>
      <c r="AN240" s="12">
        <v>376446169540.36603</v>
      </c>
      <c r="AO240" s="12">
        <v>425196434910.15503</v>
      </c>
      <c r="AP240" s="12">
        <v>448652237427.46698</v>
      </c>
      <c r="AQ240" s="12">
        <v>461876753126.164</v>
      </c>
      <c r="AR240" s="12">
        <v>501953663208.79199</v>
      </c>
      <c r="AS240" s="12">
        <v>531888592461.12701</v>
      </c>
      <c r="AT240" s="12">
        <v>538316194815.90802</v>
      </c>
      <c r="AU240" s="12">
        <v>524740281472.20898</v>
      </c>
      <c r="AV240" s="12">
        <v>573739455538.20203</v>
      </c>
      <c r="AW240" s="12">
        <v>681175304683.349</v>
      </c>
      <c r="AX240" s="12">
        <v>803395814760.26697</v>
      </c>
      <c r="AY240" s="12">
        <v>936958782128.50195</v>
      </c>
      <c r="AZ240" s="12">
        <v>1142496171537.5901</v>
      </c>
      <c r="BA240" s="12">
        <v>1408940145207.77</v>
      </c>
      <c r="BB240" s="12">
        <v>1370510388101.01</v>
      </c>
      <c r="BC240" s="12">
        <v>1578098825455.6299</v>
      </c>
      <c r="BD240" s="12">
        <v>1625215015080.8201</v>
      </c>
      <c r="BE240" s="12">
        <v>1752600144095.3601</v>
      </c>
      <c r="BF240" s="12">
        <v>1610532053136.1201</v>
      </c>
      <c r="BG240" s="12">
        <v>1586867026417.6101</v>
      </c>
      <c r="BH240" s="12">
        <v>1425097284881.3799</v>
      </c>
      <c r="BI240" s="12">
        <v>1460439521134.79</v>
      </c>
      <c r="BJ240" s="12">
        <v>1460779774224.8401</v>
      </c>
      <c r="BK240" s="12">
        <v>1385560841911.77</v>
      </c>
      <c r="BL240" s="12">
        <v>1391490811737.4299</v>
      </c>
      <c r="BM240" s="12">
        <v>1269352235067.6399</v>
      </c>
      <c r="BN240" s="12">
        <v>1482949612650.4099</v>
      </c>
      <c r="BO240" s="12">
        <v>1677609783949.53</v>
      </c>
    </row>
    <row r="241" spans="1:67" x14ac:dyDescent="0.2">
      <c r="A241" s="12" t="s">
        <v>381</v>
      </c>
      <c r="B241" s="12" t="s">
        <v>380</v>
      </c>
      <c r="C241" s="12" t="s">
        <v>978</v>
      </c>
      <c r="D241" s="12" t="s">
        <v>979</v>
      </c>
      <c r="T241" s="12">
        <v>32506741.7201204</v>
      </c>
      <c r="U241" s="12">
        <v>30036416.961994398</v>
      </c>
      <c r="V241" s="12">
        <v>34139387.890884899</v>
      </c>
      <c r="W241" s="12">
        <v>41567471.672198698</v>
      </c>
      <c r="X241" s="12">
        <v>44667002.012072399</v>
      </c>
      <c r="Y241" s="12">
        <v>53260077.431109101</v>
      </c>
      <c r="Z241" s="12">
        <v>62242013.330268897</v>
      </c>
      <c r="AA241" s="12">
        <v>62068161.0711025</v>
      </c>
      <c r="AB241" s="12">
        <v>60863963.963964</v>
      </c>
      <c r="AC241" s="12">
        <v>64248354.541465603</v>
      </c>
      <c r="AD241" s="12">
        <v>60058663.314477302</v>
      </c>
      <c r="AE241" s="12">
        <v>68195855.614973307</v>
      </c>
      <c r="AF241" s="12">
        <v>81667133.454698205</v>
      </c>
      <c r="AG241" s="12">
        <v>106657267.367342</v>
      </c>
      <c r="AH241" s="12">
        <v>106344854.986095</v>
      </c>
      <c r="AI241" s="12">
        <v>113563821.57740401</v>
      </c>
      <c r="AJ241" s="12">
        <v>132201141.446861</v>
      </c>
      <c r="AK241" s="12">
        <v>137066290.550071</v>
      </c>
      <c r="AL241" s="12">
        <v>138489884.39306399</v>
      </c>
      <c r="AM241" s="12">
        <v>195990986.21421</v>
      </c>
      <c r="AN241" s="12">
        <v>208871665.74868199</v>
      </c>
      <c r="AO241" s="12">
        <v>222100576.34548301</v>
      </c>
      <c r="AP241" s="12">
        <v>214991452.314998</v>
      </c>
      <c r="AQ241" s="12">
        <v>191504892.76139399</v>
      </c>
      <c r="AR241" s="12">
        <v>199208717.50191301</v>
      </c>
      <c r="AS241" s="12">
        <v>204848487.806485</v>
      </c>
      <c r="AT241" s="12">
        <v>181117230.406546</v>
      </c>
      <c r="AU241" s="12">
        <v>182764280.82850099</v>
      </c>
      <c r="AV241" s="12">
        <v>202246591.21550199</v>
      </c>
      <c r="AW241" s="12">
        <v>230657627.231323</v>
      </c>
      <c r="AX241" s="12">
        <v>261803684.241754</v>
      </c>
      <c r="AY241" s="12">
        <v>292230662.39901203</v>
      </c>
      <c r="AZ241" s="12">
        <v>298519024.14082003</v>
      </c>
      <c r="BA241" s="12">
        <v>344436582.075764</v>
      </c>
      <c r="BB241" s="12">
        <v>312377678.83941001</v>
      </c>
      <c r="BC241" s="12">
        <v>366832215.189578</v>
      </c>
      <c r="BD241" s="12">
        <v>414533117.69229901</v>
      </c>
      <c r="BE241" s="12">
        <v>470705196.43265897</v>
      </c>
      <c r="BF241" s="12">
        <v>450650633.04135001</v>
      </c>
      <c r="BG241" s="12">
        <v>439877614.41920602</v>
      </c>
      <c r="BH241" s="12">
        <v>437003078.56358403</v>
      </c>
      <c r="BI241" s="12">
        <v>420548712.43328798</v>
      </c>
      <c r="BJ241" s="12">
        <v>460374354.847247</v>
      </c>
      <c r="BK241" s="12">
        <v>488906838.59486598</v>
      </c>
      <c r="BL241" s="12">
        <v>512053692.07867497</v>
      </c>
      <c r="BM241" s="12">
        <v>484796854.91875601</v>
      </c>
      <c r="BN241" s="12">
        <v>469228219.66579098</v>
      </c>
    </row>
    <row r="242" spans="1:67" x14ac:dyDescent="0.2">
      <c r="A242" s="12" t="s">
        <v>1095</v>
      </c>
      <c r="B242" s="12" t="s">
        <v>1096</v>
      </c>
      <c r="C242" s="12" t="s">
        <v>978</v>
      </c>
      <c r="D242" s="12" t="s">
        <v>979</v>
      </c>
      <c r="E242" s="12">
        <v>47147779567.029198</v>
      </c>
      <c r="F242" s="12">
        <v>50307314798.8582</v>
      </c>
      <c r="G242" s="12">
        <v>53695416445.608101</v>
      </c>
      <c r="H242" s="12">
        <v>60396894530.4729</v>
      </c>
      <c r="I242" s="12">
        <v>69145880249.901001</v>
      </c>
      <c r="J242" s="12">
        <v>74260412305.024902</v>
      </c>
      <c r="K242" s="12">
        <v>62444760597.971802</v>
      </c>
      <c r="L242" s="12">
        <v>68699960050.540703</v>
      </c>
      <c r="M242" s="12">
        <v>72004816964.9832</v>
      </c>
      <c r="N242" s="12">
        <v>79157009447.017395</v>
      </c>
      <c r="O242" s="12">
        <v>85695623709.061203</v>
      </c>
      <c r="P242" s="12">
        <v>91151981089.536896</v>
      </c>
      <c r="Q242" s="12">
        <v>91635981395.2061</v>
      </c>
      <c r="R242" s="12">
        <v>104761572323.097</v>
      </c>
      <c r="S242" s="12">
        <v>126910557742.55901</v>
      </c>
      <c r="T242" s="12">
        <v>135841794095.403</v>
      </c>
      <c r="U242" s="12">
        <v>132583348018.062</v>
      </c>
      <c r="V242" s="12">
        <v>153524522489.129</v>
      </c>
      <c r="W242" s="12">
        <v>174688741592.875</v>
      </c>
      <c r="X242" s="12">
        <v>195656039708.793</v>
      </c>
      <c r="Y242" s="12">
        <v>235917480422.41599</v>
      </c>
      <c r="Z242" s="12">
        <v>250092890361.87299</v>
      </c>
      <c r="AA242" s="12">
        <v>258743965953.36301</v>
      </c>
      <c r="AB242" s="12">
        <v>273899513562.95401</v>
      </c>
      <c r="AC242" s="12">
        <v>272624713224.39001</v>
      </c>
      <c r="AD242" s="12">
        <v>296454642420.47101</v>
      </c>
      <c r="AE242" s="12">
        <v>313975467118.073</v>
      </c>
      <c r="AF242" s="12">
        <v>348624425273.32397</v>
      </c>
      <c r="AG242" s="12">
        <v>374608450728.32001</v>
      </c>
      <c r="AH242" s="12">
        <v>378041404290.77802</v>
      </c>
      <c r="AI242" s="12">
        <v>406989688413.065</v>
      </c>
      <c r="AJ242" s="12">
        <v>362086643424.48499</v>
      </c>
      <c r="AK242" s="12">
        <v>384546459006.51398</v>
      </c>
      <c r="AL242" s="12">
        <v>380914811392.99103</v>
      </c>
      <c r="AM242" s="12">
        <v>432114259474.23102</v>
      </c>
      <c r="AN242" s="12">
        <v>479616531671.04401</v>
      </c>
      <c r="AO242" s="12">
        <v>524715251563.74597</v>
      </c>
      <c r="AP242" s="12">
        <v>550444437662.75903</v>
      </c>
      <c r="AQ242" s="12">
        <v>558153189409.89795</v>
      </c>
      <c r="AR242" s="12">
        <v>598033332783.54797</v>
      </c>
      <c r="AS242" s="12">
        <v>647686504213.63599</v>
      </c>
      <c r="AT242" s="12">
        <v>663315346921.86902</v>
      </c>
      <c r="AU242" s="12">
        <v>695416323416.85596</v>
      </c>
      <c r="AV242" s="12">
        <v>811619434178.71497</v>
      </c>
      <c r="AW242" s="12">
        <v>941543875013.26294</v>
      </c>
      <c r="AX242" s="12">
        <v>1075732708524.25</v>
      </c>
      <c r="AY242" s="12">
        <v>1220695824211.1799</v>
      </c>
      <c r="AZ242" s="12">
        <v>1535949630979.4099</v>
      </c>
      <c r="BA242" s="12">
        <v>1559598183074.45</v>
      </c>
      <c r="BB242" s="12">
        <v>1702620252614.52</v>
      </c>
      <c r="BC242" s="12">
        <v>2082235871786.71</v>
      </c>
      <c r="BD242" s="12">
        <v>2293960102339.3999</v>
      </c>
      <c r="BE242" s="12">
        <v>2327825468877.1602</v>
      </c>
      <c r="BF242" s="12">
        <v>2389729692833</v>
      </c>
      <c r="BG242" s="12">
        <v>2614764107326.5801</v>
      </c>
      <c r="BH242" s="12">
        <v>2733399604482.9702</v>
      </c>
      <c r="BI242" s="12">
        <v>3010885154564.8101</v>
      </c>
      <c r="BJ242" s="12">
        <v>3433943646490.54</v>
      </c>
      <c r="BK242" s="12">
        <v>3534083235323.8799</v>
      </c>
      <c r="BL242" s="12">
        <v>3658216510053.27</v>
      </c>
      <c r="BM242" s="12">
        <v>3489923527067.6699</v>
      </c>
      <c r="BN242" s="12">
        <v>4062850047299.3901</v>
      </c>
      <c r="BO242" s="12">
        <v>4390347563465.9102</v>
      </c>
    </row>
    <row r="243" spans="1:67" x14ac:dyDescent="0.2">
      <c r="A243" s="12" t="s">
        <v>1097</v>
      </c>
      <c r="B243" s="12" t="s">
        <v>1098</v>
      </c>
      <c r="C243" s="12" t="s">
        <v>978</v>
      </c>
      <c r="D243" s="12" t="s">
        <v>979</v>
      </c>
      <c r="E243" s="12">
        <v>28350468421.423302</v>
      </c>
      <c r="F243" s="12">
        <v>29961725657.462299</v>
      </c>
      <c r="G243" s="12">
        <v>31905097549.773499</v>
      </c>
      <c r="H243" s="12">
        <v>34295088187.634399</v>
      </c>
      <c r="I243" s="12">
        <v>37450615380.929398</v>
      </c>
      <c r="J243" s="12">
        <v>40699119254.401703</v>
      </c>
      <c r="K243" s="12">
        <v>43694688022.953697</v>
      </c>
      <c r="L243" s="12">
        <v>44682488650.672798</v>
      </c>
      <c r="M243" s="12">
        <v>47544692629.810997</v>
      </c>
      <c r="N243" s="12">
        <v>53653482086.158897</v>
      </c>
      <c r="O243" s="12">
        <v>64262183030.201103</v>
      </c>
      <c r="P243" s="12">
        <v>64788548517.3246</v>
      </c>
      <c r="Q243" s="12">
        <v>72977507312.995605</v>
      </c>
      <c r="R243" s="12">
        <v>94311825089.777695</v>
      </c>
      <c r="S243" s="12">
        <v>121774770158.32201</v>
      </c>
      <c r="T243" s="12">
        <v>134540019971.16</v>
      </c>
      <c r="U243" s="12">
        <v>146797068140.63</v>
      </c>
      <c r="V243" s="12">
        <v>158956560542.323</v>
      </c>
      <c r="W243" s="12">
        <v>175558206633.79401</v>
      </c>
      <c r="X243" s="12">
        <v>213297405524.41901</v>
      </c>
      <c r="Y243" s="12">
        <v>276487623475.67499</v>
      </c>
      <c r="Z243" s="12">
        <v>390633603280.26801</v>
      </c>
      <c r="AA243" s="12">
        <v>356130276106.41699</v>
      </c>
      <c r="AB243" s="12">
        <v>314494149172.914</v>
      </c>
      <c r="AC243" s="12">
        <v>277300160741.81097</v>
      </c>
      <c r="AD243" s="12">
        <v>253076588719.103</v>
      </c>
      <c r="AE243" s="12">
        <v>261139143911.64801</v>
      </c>
      <c r="AF243" s="12">
        <v>296448524482.90698</v>
      </c>
      <c r="AG243" s="12">
        <v>313649780704.32501</v>
      </c>
      <c r="AH243" s="12">
        <v>319088765783.61401</v>
      </c>
      <c r="AI243" s="12">
        <v>375072348965.14001</v>
      </c>
      <c r="AJ243" s="12">
        <v>401852141920.69397</v>
      </c>
      <c r="AK243" s="12">
        <v>361718727022.31403</v>
      </c>
      <c r="AL243" s="12">
        <v>365343311951.85602</v>
      </c>
      <c r="AM243" s="12">
        <v>373338792773.34497</v>
      </c>
      <c r="AN243" s="12">
        <v>476028793024.35699</v>
      </c>
      <c r="AO243" s="12">
        <v>530403297592.96503</v>
      </c>
      <c r="AP243" s="12">
        <v>558582455488.93103</v>
      </c>
      <c r="AQ243" s="12">
        <v>562766943419.56897</v>
      </c>
      <c r="AR243" s="12">
        <v>399824309739.07397</v>
      </c>
      <c r="AS243" s="12">
        <v>424208177273.26001</v>
      </c>
      <c r="AT243" s="12">
        <v>406829662892.38702</v>
      </c>
      <c r="AU243" s="12">
        <v>443166298756.59399</v>
      </c>
      <c r="AV243" s="12">
        <v>558164582744.67004</v>
      </c>
      <c r="AW243" s="12">
        <v>693311644402.71802</v>
      </c>
      <c r="AX243" s="12">
        <v>823459534915.65405</v>
      </c>
      <c r="AY243" s="12">
        <v>973689895732.948</v>
      </c>
      <c r="AZ243" s="12">
        <v>1128719710420.6699</v>
      </c>
      <c r="BA243" s="12">
        <v>1279596976613.3601</v>
      </c>
      <c r="BB243" s="12">
        <v>1225007276583.1101</v>
      </c>
      <c r="BC243" s="12">
        <v>1450038149332.22</v>
      </c>
      <c r="BD243" s="12">
        <v>1630002510355.1499</v>
      </c>
      <c r="BE243" s="12">
        <v>1691867822997.4399</v>
      </c>
      <c r="BF243" s="12">
        <v>1797436819258.23</v>
      </c>
      <c r="BG243" s="12">
        <v>1874195464054.1001</v>
      </c>
      <c r="BH243" s="12">
        <v>1668518758845.73</v>
      </c>
      <c r="BI243" s="12">
        <v>1521853225245.6799</v>
      </c>
      <c r="BJ243" s="12">
        <v>1625589617605.8601</v>
      </c>
      <c r="BK243" s="12">
        <v>1780679619928.75</v>
      </c>
      <c r="BL243" s="12">
        <v>1829596580378.3999</v>
      </c>
      <c r="BM243" s="12">
        <v>1715842671714.99</v>
      </c>
      <c r="BN243" s="12">
        <v>1931458241338.3401</v>
      </c>
      <c r="BO243" s="12">
        <v>2060531397309.0801</v>
      </c>
    </row>
    <row r="244" spans="1:67" x14ac:dyDescent="0.2">
      <c r="A244" s="12" t="s">
        <v>255</v>
      </c>
      <c r="B244" s="12" t="s">
        <v>254</v>
      </c>
      <c r="C244" s="12" t="s">
        <v>978</v>
      </c>
      <c r="D244" s="12" t="s">
        <v>979</v>
      </c>
      <c r="E244" s="12">
        <v>535670127.74893498</v>
      </c>
      <c r="F244" s="12">
        <v>584961208.65659499</v>
      </c>
      <c r="G244" s="12">
        <v>619319197.34002197</v>
      </c>
      <c r="H244" s="12">
        <v>678235373.03855801</v>
      </c>
      <c r="I244" s="12">
        <v>711893367.55526996</v>
      </c>
      <c r="J244" s="12">
        <v>736568861.92615104</v>
      </c>
      <c r="K244" s="12">
        <v>723735635.53637099</v>
      </c>
      <c r="L244" s="12">
        <v>761981474.02335894</v>
      </c>
      <c r="M244" s="12">
        <v>758899950</v>
      </c>
      <c r="N244" s="12">
        <v>779200000</v>
      </c>
      <c r="O244" s="12">
        <v>821850000</v>
      </c>
      <c r="P244" s="12">
        <v>896754316.67426205</v>
      </c>
      <c r="Q244" s="12">
        <v>1083381044.0847299</v>
      </c>
      <c r="R244" s="12">
        <v>1308799458.9628401</v>
      </c>
      <c r="S244" s="12">
        <v>2042031901.4221699</v>
      </c>
      <c r="T244" s="12">
        <v>2442667573.0482101</v>
      </c>
      <c r="U244" s="12">
        <v>2500410583.79177</v>
      </c>
      <c r="V244" s="12">
        <v>3138666666.6666698</v>
      </c>
      <c r="W244" s="12">
        <v>3562333458.3333302</v>
      </c>
      <c r="X244" s="12">
        <v>4602416625</v>
      </c>
      <c r="Y244" s="12">
        <v>6235833333.3333302</v>
      </c>
      <c r="Z244" s="12">
        <v>6992083333.3333302</v>
      </c>
      <c r="AA244" s="12">
        <v>8140416666.6666698</v>
      </c>
      <c r="AB244" s="12">
        <v>7763750000</v>
      </c>
      <c r="AC244" s="12">
        <v>7757083333.3333302</v>
      </c>
      <c r="AD244" s="12">
        <v>7375918367.34694</v>
      </c>
      <c r="AE244" s="12">
        <v>4794444444.4444399</v>
      </c>
      <c r="AF244" s="12">
        <v>4797777777.7777796</v>
      </c>
      <c r="AG244" s="12">
        <v>4496852073.4689598</v>
      </c>
      <c r="AH244" s="12">
        <v>4323058823.5294104</v>
      </c>
      <c r="AI244" s="12">
        <v>5068000000</v>
      </c>
      <c r="AJ244" s="12">
        <v>5307905882.3529396</v>
      </c>
      <c r="AK244" s="12">
        <v>5439552941.1764698</v>
      </c>
      <c r="AL244" s="12">
        <v>4669488516.3798103</v>
      </c>
      <c r="AM244" s="12">
        <v>4947205860.0145102</v>
      </c>
      <c r="AN244" s="12">
        <v>5329214163.2200098</v>
      </c>
      <c r="AO244" s="12">
        <v>5759537726.2660103</v>
      </c>
      <c r="AP244" s="12">
        <v>5737751331.6377897</v>
      </c>
      <c r="AQ244" s="12">
        <v>6043694330.2160902</v>
      </c>
      <c r="AR244" s="12">
        <v>6808982520.7575903</v>
      </c>
      <c r="AS244" s="12">
        <v>8154338232.9597797</v>
      </c>
      <c r="AT244" s="12">
        <v>8824873259.3210506</v>
      </c>
      <c r="AU244" s="12">
        <v>9008273720.9339504</v>
      </c>
      <c r="AV244" s="12">
        <v>11305459802.0683</v>
      </c>
      <c r="AW244" s="12">
        <v>13280275123.0354</v>
      </c>
      <c r="AX244" s="12">
        <v>15982282462.378599</v>
      </c>
      <c r="AY244" s="12">
        <v>18369361094.388599</v>
      </c>
      <c r="AZ244" s="12">
        <v>21641620049.9352</v>
      </c>
      <c r="BA244" s="12">
        <v>27871587349.541302</v>
      </c>
      <c r="BB244" s="12">
        <v>19172165225.501499</v>
      </c>
      <c r="BC244" s="12">
        <v>22157948396.204201</v>
      </c>
      <c r="BD244" s="12">
        <v>25433011405.301701</v>
      </c>
      <c r="BE244" s="12">
        <v>27334581560.283699</v>
      </c>
      <c r="BF244" s="12">
        <v>28709988700.214199</v>
      </c>
      <c r="BG244" s="12">
        <v>29699968760.727798</v>
      </c>
      <c r="BH244" s="12">
        <v>27026080986.577999</v>
      </c>
      <c r="BI244" s="12">
        <v>23713671528.142101</v>
      </c>
      <c r="BJ244" s="12">
        <v>24040299977.8745</v>
      </c>
      <c r="BK244" s="12">
        <v>24569079488.3913</v>
      </c>
      <c r="BL244" s="12">
        <v>23775754304.665199</v>
      </c>
      <c r="BM244" s="12">
        <v>20807571314.304298</v>
      </c>
      <c r="BN244" s="12">
        <v>24496505940.667301</v>
      </c>
      <c r="BO244" s="12">
        <v>30053575132.141998</v>
      </c>
    </row>
    <row r="245" spans="1:67" x14ac:dyDescent="0.2">
      <c r="A245" s="12" t="s">
        <v>185</v>
      </c>
      <c r="B245" s="12" t="s">
        <v>184</v>
      </c>
      <c r="C245" s="12" t="s">
        <v>978</v>
      </c>
      <c r="D245" s="12" t="s">
        <v>979</v>
      </c>
      <c r="J245" s="12">
        <v>991047619.04761899</v>
      </c>
      <c r="K245" s="12">
        <v>1040952380.9523799</v>
      </c>
      <c r="L245" s="12">
        <v>1085714285.7142899</v>
      </c>
      <c r="M245" s="12">
        <v>1214666666.6666701</v>
      </c>
      <c r="N245" s="12">
        <v>1289904761.9047599</v>
      </c>
      <c r="O245" s="12">
        <v>1439238095.2381001</v>
      </c>
      <c r="P245" s="12">
        <v>1685162272.4065199</v>
      </c>
      <c r="Q245" s="12">
        <v>2237556148.51085</v>
      </c>
      <c r="R245" s="12">
        <v>2730813385.3262401</v>
      </c>
      <c r="S245" s="12">
        <v>3545868575.14639</v>
      </c>
      <c r="T245" s="12">
        <v>4328965587.5326595</v>
      </c>
      <c r="U245" s="12">
        <v>4508191942.1608105</v>
      </c>
      <c r="V245" s="12">
        <v>5109324009.3240099</v>
      </c>
      <c r="W245" s="12">
        <v>5968460080.1113005</v>
      </c>
      <c r="X245" s="12">
        <v>7188863903.6367502</v>
      </c>
      <c r="Y245" s="12">
        <v>8744134354.16152</v>
      </c>
      <c r="Z245" s="12">
        <v>8428445294.0842896</v>
      </c>
      <c r="AA245" s="12">
        <v>8133580051.7025099</v>
      </c>
      <c r="AB245" s="12">
        <v>8350582747.8354101</v>
      </c>
      <c r="AC245" s="12">
        <v>8254541194.8256598</v>
      </c>
      <c r="AD245" s="12">
        <v>8410226052.6113997</v>
      </c>
      <c r="AE245" s="12">
        <v>9017806654.4169006</v>
      </c>
      <c r="AF245" s="12">
        <v>9696715910.7090702</v>
      </c>
      <c r="AG245" s="12">
        <v>10096245762.4352</v>
      </c>
      <c r="AH245" s="12">
        <v>10101851744.5627</v>
      </c>
      <c r="AI245" s="12">
        <v>12290568181.818199</v>
      </c>
      <c r="AJ245" s="12">
        <v>13074782608.6957</v>
      </c>
      <c r="AK245" s="12">
        <v>15496708060.4184</v>
      </c>
      <c r="AL245" s="12">
        <v>14608335608.154301</v>
      </c>
      <c r="AM245" s="12">
        <v>15633174304.0905</v>
      </c>
      <c r="AN245" s="12">
        <v>18030876599.344398</v>
      </c>
      <c r="AO245" s="12">
        <v>19587161806.765499</v>
      </c>
      <c r="AP245" s="12">
        <v>20746210353.845001</v>
      </c>
      <c r="AQ245" s="12">
        <v>21802893587.125999</v>
      </c>
      <c r="AR245" s="12">
        <v>22943202174.966801</v>
      </c>
      <c r="AS245" s="12">
        <v>21473528160.778198</v>
      </c>
      <c r="AT245" s="12">
        <v>22065832448.862301</v>
      </c>
      <c r="AU245" s="12">
        <v>23141616604.5242</v>
      </c>
      <c r="AV245" s="12">
        <v>27453902261.462898</v>
      </c>
      <c r="AW245" s="12">
        <v>31183885241.439602</v>
      </c>
      <c r="AX245" s="12">
        <v>32272186694.804298</v>
      </c>
      <c r="AY245" s="12">
        <v>34376664600.589798</v>
      </c>
      <c r="AZ245" s="12">
        <v>38915353866.757004</v>
      </c>
      <c r="BA245" s="12">
        <v>44859439902.219101</v>
      </c>
      <c r="BB245" s="12">
        <v>43455740497.306099</v>
      </c>
      <c r="BC245" s="12">
        <v>46206091937.962799</v>
      </c>
      <c r="BD245" s="12">
        <v>48123325825.073898</v>
      </c>
      <c r="BE245" s="12">
        <v>47311401812.673302</v>
      </c>
      <c r="BF245" s="12">
        <v>48685446413.953003</v>
      </c>
      <c r="BG245" s="12">
        <v>50271812920.612</v>
      </c>
      <c r="BH245" s="12">
        <v>45779494041.929497</v>
      </c>
      <c r="BI245" s="12">
        <v>44360072680.447601</v>
      </c>
      <c r="BJ245" s="12">
        <v>42163530590.946198</v>
      </c>
      <c r="BK245" s="12">
        <v>42686580020.832199</v>
      </c>
      <c r="BL245" s="12">
        <v>41905540184.424004</v>
      </c>
      <c r="BM245" s="12">
        <v>42538289933.216202</v>
      </c>
      <c r="BN245" s="12">
        <v>46687293140.3377</v>
      </c>
      <c r="BO245" s="12">
        <v>46303552449.354202</v>
      </c>
    </row>
    <row r="246" spans="1:67" x14ac:dyDescent="0.2">
      <c r="A246" s="12" t="s">
        <v>1099</v>
      </c>
      <c r="B246" s="12" t="s">
        <v>92</v>
      </c>
      <c r="C246" s="12" t="s">
        <v>978</v>
      </c>
      <c r="D246" s="12" t="s">
        <v>979</v>
      </c>
      <c r="E246" s="12">
        <v>7566666666.6666698</v>
      </c>
      <c r="F246" s="12">
        <v>7988888888.8888903</v>
      </c>
      <c r="G246" s="12">
        <v>8922222222.2222195</v>
      </c>
      <c r="H246" s="12">
        <v>10355555555.555599</v>
      </c>
      <c r="I246" s="12">
        <v>11177777777.7778</v>
      </c>
      <c r="J246" s="12">
        <v>11966666666.6667</v>
      </c>
      <c r="K246" s="12">
        <v>14100000000</v>
      </c>
      <c r="L246" s="12">
        <v>15644444444.444401</v>
      </c>
      <c r="M246" s="12">
        <v>17500000000</v>
      </c>
      <c r="N246" s="12">
        <v>19466666666.666698</v>
      </c>
      <c r="O246" s="12">
        <v>17863636363.636398</v>
      </c>
      <c r="P246" s="12">
        <v>16166666666.6667</v>
      </c>
      <c r="Q246" s="12">
        <v>20650000000</v>
      </c>
      <c r="R246" s="12">
        <v>26000000000</v>
      </c>
      <c r="S246" s="12">
        <v>35414285714.285698</v>
      </c>
      <c r="T246" s="12">
        <v>46042857142.857101</v>
      </c>
      <c r="U246" s="12">
        <v>51450000000</v>
      </c>
      <c r="V246" s="12">
        <v>58683333333.333298</v>
      </c>
      <c r="W246" s="12">
        <v>65912500000</v>
      </c>
      <c r="X246" s="12">
        <v>89616129032.258102</v>
      </c>
      <c r="Y246" s="12">
        <v>68823684210.526306</v>
      </c>
      <c r="Z246" s="12">
        <v>71180180180.180206</v>
      </c>
      <c r="AA246" s="12">
        <v>64369325153.374199</v>
      </c>
      <c r="AB246" s="12">
        <v>61803555555.555603</v>
      </c>
      <c r="AC246" s="12">
        <v>59937602179.836502</v>
      </c>
      <c r="AD246" s="12">
        <v>67232758620.689697</v>
      </c>
      <c r="AE246" s="12">
        <v>75673037037.037003</v>
      </c>
      <c r="AF246" s="12">
        <v>87190081680.279999</v>
      </c>
      <c r="AG246" s="12">
        <v>90875175808.720093</v>
      </c>
      <c r="AH246" s="12">
        <v>107127191328.935</v>
      </c>
      <c r="AI246" s="12">
        <v>150655500191.64401</v>
      </c>
      <c r="AJ246" s="12">
        <v>151034731543.62399</v>
      </c>
      <c r="AK246" s="12">
        <v>159104772991.85101</v>
      </c>
      <c r="AL246" s="12">
        <v>180415757851.616</v>
      </c>
      <c r="AM246" s="12">
        <v>130650447499.071</v>
      </c>
      <c r="AN246" s="12">
        <v>169319579016.25</v>
      </c>
      <c r="AO246" s="12">
        <v>181464408820.09698</v>
      </c>
      <c r="AP246" s="12">
        <v>189878399894.64301</v>
      </c>
      <c r="AQ246" s="12">
        <v>275941990764.17999</v>
      </c>
      <c r="AR246" s="12">
        <v>256395932738.435</v>
      </c>
      <c r="AS246" s="12">
        <v>274294623164.043</v>
      </c>
      <c r="AT246" s="12">
        <v>201753123806.69501</v>
      </c>
      <c r="AU246" s="12">
        <v>240249071871.10599</v>
      </c>
      <c r="AV246" s="12">
        <v>314595572145.76703</v>
      </c>
      <c r="AW246" s="12">
        <v>408865430220.33099</v>
      </c>
      <c r="AX246" s="12">
        <v>506314717661.65503</v>
      </c>
      <c r="AY246" s="12">
        <v>557076157773.479</v>
      </c>
      <c r="AZ246" s="12">
        <v>681321124295.91394</v>
      </c>
      <c r="BA246" s="12">
        <v>770449132861.37305</v>
      </c>
      <c r="BB246" s="12">
        <v>649289324627.73206</v>
      </c>
      <c r="BC246" s="12">
        <v>776967266305.53003</v>
      </c>
      <c r="BD246" s="12">
        <v>838785289694.34998</v>
      </c>
      <c r="BE246" s="12">
        <v>880555885492.26904</v>
      </c>
      <c r="BF246" s="12">
        <v>957799120008.31995</v>
      </c>
      <c r="BG246" s="12">
        <v>938934609296.96594</v>
      </c>
      <c r="BH246" s="12">
        <v>864313810469.00903</v>
      </c>
      <c r="BI246" s="12">
        <v>869682881593.04102</v>
      </c>
      <c r="BJ246" s="12">
        <v>858988492853.74194</v>
      </c>
      <c r="BK246" s="12">
        <v>778972199727.85901</v>
      </c>
      <c r="BL246" s="12">
        <v>761005946788.22095</v>
      </c>
      <c r="BM246" s="12">
        <v>720338498174.74402</v>
      </c>
      <c r="BN246" s="12">
        <v>819865253669.66101</v>
      </c>
      <c r="BO246" s="12">
        <v>907118435952.68799</v>
      </c>
    </row>
    <row r="247" spans="1:67" x14ac:dyDescent="0.2">
      <c r="A247" s="12" t="s">
        <v>383</v>
      </c>
      <c r="B247" s="12" t="s">
        <v>382</v>
      </c>
      <c r="C247" s="12" t="s">
        <v>978</v>
      </c>
      <c r="D247" s="12" t="s">
        <v>979</v>
      </c>
      <c r="AI247" s="12">
        <v>8824743.9419167191</v>
      </c>
      <c r="AJ247" s="12">
        <v>9365486.8993796296</v>
      </c>
      <c r="AK247" s="12">
        <v>9742606.0185892396</v>
      </c>
      <c r="AL247" s="12">
        <v>9631024.9156783801</v>
      </c>
      <c r="AM247" s="12">
        <v>10887215.5823684</v>
      </c>
      <c r="AN247" s="12">
        <v>11025675.428251199</v>
      </c>
      <c r="AO247" s="12">
        <v>12335203.382522199</v>
      </c>
      <c r="AP247" s="12">
        <v>12701093.974973699</v>
      </c>
      <c r="AQ247" s="12">
        <v>12757408.463728501</v>
      </c>
      <c r="AR247" s="12">
        <v>13687141.1058778</v>
      </c>
      <c r="AS247" s="12">
        <v>15073975.5349377</v>
      </c>
      <c r="AT247" s="12">
        <v>13964732.327114001</v>
      </c>
      <c r="AU247" s="12">
        <v>16842672.595287401</v>
      </c>
      <c r="AV247" s="12">
        <v>19456338.031822801</v>
      </c>
      <c r="AW247" s="12">
        <v>22798274.9795551</v>
      </c>
      <c r="AX247" s="12">
        <v>22909979.816307802</v>
      </c>
      <c r="AY247" s="12">
        <v>24096875.463582501</v>
      </c>
      <c r="AZ247" s="12">
        <v>28450168.692765001</v>
      </c>
      <c r="BA247" s="12">
        <v>31874434.857882001</v>
      </c>
      <c r="BB247" s="12">
        <v>28076983.970381901</v>
      </c>
      <c r="BC247" s="12">
        <v>32105408.4771121</v>
      </c>
      <c r="BD247" s="12">
        <v>39196957.4908996</v>
      </c>
      <c r="BE247" s="12">
        <v>39345579.472375803</v>
      </c>
      <c r="BF247" s="12">
        <v>38615890.632074498</v>
      </c>
      <c r="BG247" s="12">
        <v>38760982.654009603</v>
      </c>
      <c r="BH247" s="12">
        <v>36811936.082458697</v>
      </c>
      <c r="BI247" s="12">
        <v>41629064.223238803</v>
      </c>
      <c r="BJ247" s="12">
        <v>45276595.353314601</v>
      </c>
      <c r="BK247" s="12">
        <v>48015259.875135601</v>
      </c>
      <c r="BL247" s="12">
        <v>54123198.566291302</v>
      </c>
      <c r="BM247" s="12">
        <v>51746594.314854302</v>
      </c>
      <c r="BN247" s="12">
        <v>60196405.7138393</v>
      </c>
      <c r="BO247" s="12">
        <v>59065979.022767901</v>
      </c>
    </row>
    <row r="248" spans="1:67" x14ac:dyDescent="0.2">
      <c r="A248" s="12" t="s">
        <v>285</v>
      </c>
      <c r="B248" s="12" t="s">
        <v>284</v>
      </c>
      <c r="C248" s="12" t="s">
        <v>978</v>
      </c>
      <c r="D248" s="12" t="s">
        <v>979</v>
      </c>
      <c r="AG248" s="12">
        <v>5100405361.52178</v>
      </c>
      <c r="AH248" s="12">
        <v>4420167578.2999296</v>
      </c>
      <c r="AI248" s="12">
        <v>4258742891.66014</v>
      </c>
      <c r="AJ248" s="12">
        <v>4956587894.0798101</v>
      </c>
      <c r="AK248" s="12">
        <v>4601413526.2830601</v>
      </c>
      <c r="AL248" s="12">
        <v>4257702017.9411101</v>
      </c>
      <c r="AM248" s="12">
        <v>4510847189.1543102</v>
      </c>
      <c r="AN248" s="12">
        <v>5255221040.7908497</v>
      </c>
      <c r="AO248" s="12">
        <v>6496195820.23633</v>
      </c>
      <c r="AP248" s="12">
        <v>7683852496.8449898</v>
      </c>
      <c r="AQ248" s="12">
        <v>12270448552.511999</v>
      </c>
      <c r="AR248" s="12">
        <v>12708703446.648199</v>
      </c>
      <c r="AS248" s="12">
        <v>13376365874.8449</v>
      </c>
      <c r="AT248" s="12">
        <v>13568654924.4694</v>
      </c>
      <c r="AU248" s="12">
        <v>14134511339.163</v>
      </c>
      <c r="AV248" s="12">
        <v>15216719215.2206</v>
      </c>
      <c r="AW248" s="12">
        <v>16678796641.900499</v>
      </c>
      <c r="AX248" s="12">
        <v>18395383647.497501</v>
      </c>
      <c r="AY248" s="12">
        <v>18619859795.285198</v>
      </c>
      <c r="AZ248" s="12">
        <v>21860434823.480801</v>
      </c>
      <c r="BA248" s="12">
        <v>27947821397.9272</v>
      </c>
      <c r="BB248" s="12">
        <v>29400573553.607498</v>
      </c>
      <c r="BC248" s="12">
        <v>32012892919.369999</v>
      </c>
      <c r="BD248" s="12">
        <v>34657140096.483597</v>
      </c>
      <c r="BE248" s="12">
        <v>39650394362.928703</v>
      </c>
      <c r="BF248" s="12">
        <v>45648857242.315002</v>
      </c>
      <c r="BG248" s="12">
        <v>49986726460.680496</v>
      </c>
      <c r="BH248" s="12">
        <v>47413919817.124001</v>
      </c>
      <c r="BI248" s="12">
        <v>49774409374.453796</v>
      </c>
      <c r="BJ248" s="12">
        <v>53274884532.788597</v>
      </c>
      <c r="BK248" s="12">
        <v>57003712892.0858</v>
      </c>
      <c r="BL248" s="12">
        <v>61026731925.921303</v>
      </c>
      <c r="BM248" s="12">
        <v>66068737786.063904</v>
      </c>
      <c r="BN248" s="12">
        <v>70655628147.898605</v>
      </c>
      <c r="BO248" s="12">
        <v>75732311666.039001</v>
      </c>
    </row>
    <row r="249" spans="1:67" x14ac:dyDescent="0.2">
      <c r="A249" s="12" t="s">
        <v>85</v>
      </c>
      <c r="B249" s="12" t="s">
        <v>84</v>
      </c>
      <c r="C249" s="12" t="s">
        <v>978</v>
      </c>
      <c r="D249" s="12" t="s">
        <v>979</v>
      </c>
      <c r="E249" s="12">
        <v>423008385.74423498</v>
      </c>
      <c r="F249" s="12">
        <v>441524109.01467502</v>
      </c>
      <c r="G249" s="12">
        <v>449012578.61635202</v>
      </c>
      <c r="H249" s="12">
        <v>516147798.74213803</v>
      </c>
      <c r="I249" s="12">
        <v>589056603.77358496</v>
      </c>
      <c r="J249" s="12">
        <v>884502309.95380104</v>
      </c>
      <c r="K249" s="12">
        <v>925381492.37015295</v>
      </c>
      <c r="L249" s="12">
        <v>967240655.18689597</v>
      </c>
      <c r="M249" s="12">
        <v>1037379252.41495</v>
      </c>
      <c r="N249" s="12">
        <v>1168556628.86742</v>
      </c>
      <c r="O249" s="12">
        <v>1259554808.90382</v>
      </c>
      <c r="P249" s="12">
        <v>1417191656.1668799</v>
      </c>
      <c r="Q249" s="12">
        <v>1490970180.59639</v>
      </c>
      <c r="R249" s="12">
        <v>1701829789.02127</v>
      </c>
      <c r="S249" s="12">
        <v>2098944967.2084401</v>
      </c>
      <c r="T249" s="12">
        <v>2359555555.5555601</v>
      </c>
      <c r="U249" s="12">
        <v>2447300000</v>
      </c>
      <c r="V249" s="12">
        <v>2936470588.2352901</v>
      </c>
      <c r="W249" s="12">
        <v>2420260869.5652199</v>
      </c>
      <c r="X249" s="12">
        <v>2139025000</v>
      </c>
      <c r="Y249" s="12">
        <v>1244610000</v>
      </c>
      <c r="Z249" s="12">
        <v>1337300000</v>
      </c>
      <c r="AA249" s="12">
        <v>2177500000</v>
      </c>
      <c r="AB249" s="12">
        <v>2240333333.3333302</v>
      </c>
      <c r="AC249" s="12">
        <v>3615647477.0543399</v>
      </c>
      <c r="AD249" s="12">
        <v>3519695443.5251598</v>
      </c>
      <c r="AE249" s="12">
        <v>3923244049.9579601</v>
      </c>
      <c r="AF249" s="12">
        <v>6269522042.1155596</v>
      </c>
      <c r="AG249" s="12">
        <v>6508931651.6666698</v>
      </c>
      <c r="AH249" s="12">
        <v>5276480799.3386803</v>
      </c>
      <c r="AI249" s="12">
        <v>4304399310.3096704</v>
      </c>
      <c r="AJ249" s="12">
        <v>3321729159.6227698</v>
      </c>
      <c r="AK249" s="12">
        <v>2857457761.9092202</v>
      </c>
      <c r="AL249" s="12">
        <v>3220439044.1894898</v>
      </c>
      <c r="AM249" s="12">
        <v>3990430446.7121601</v>
      </c>
      <c r="AN249" s="12">
        <v>5755818842.4924603</v>
      </c>
      <c r="AO249" s="12">
        <v>6044585326.9379997</v>
      </c>
      <c r="AP249" s="12">
        <v>6269333313.1710796</v>
      </c>
      <c r="AQ249" s="12">
        <v>6584815846.5275402</v>
      </c>
      <c r="AR249" s="12">
        <v>5998563257.9465904</v>
      </c>
      <c r="AS249" s="12">
        <v>6193246837.0968704</v>
      </c>
      <c r="AT249" s="12">
        <v>5840503868.5157299</v>
      </c>
      <c r="AU249" s="12">
        <v>6178563591.1205101</v>
      </c>
      <c r="AV249" s="12">
        <v>6606884275.2308702</v>
      </c>
      <c r="AW249" s="12">
        <v>7939487547.77384</v>
      </c>
      <c r="AX249" s="12">
        <v>9239221763.05793</v>
      </c>
      <c r="AY249" s="12">
        <v>9977647682.9695396</v>
      </c>
      <c r="AZ249" s="12">
        <v>11902564494.883301</v>
      </c>
      <c r="BA249" s="12">
        <v>14440404132.2047</v>
      </c>
      <c r="BB249" s="12">
        <v>25127805566.658401</v>
      </c>
      <c r="BC249" s="12">
        <v>26673441430.785702</v>
      </c>
      <c r="BD249" s="12">
        <v>27871725241.472301</v>
      </c>
      <c r="BE249" s="12">
        <v>27305915910.787701</v>
      </c>
      <c r="BF249" s="12">
        <v>28915786516.612301</v>
      </c>
      <c r="BG249" s="12">
        <v>32612397257.445801</v>
      </c>
      <c r="BH249" s="12">
        <v>32387183730.100201</v>
      </c>
      <c r="BI249" s="12">
        <v>29203988696.2626</v>
      </c>
      <c r="BJ249" s="12">
        <v>30744473841.424</v>
      </c>
      <c r="BK249" s="12">
        <v>32927025619.679501</v>
      </c>
      <c r="BL249" s="12">
        <v>35348155095.421501</v>
      </c>
      <c r="BM249" s="12">
        <v>37605430214.351898</v>
      </c>
      <c r="BN249" s="12">
        <v>40510241365.891403</v>
      </c>
      <c r="BO249" s="12">
        <v>45567304608.476402</v>
      </c>
    </row>
    <row r="250" spans="1:67" x14ac:dyDescent="0.2">
      <c r="A250" s="12" t="s">
        <v>127</v>
      </c>
      <c r="B250" s="12" t="s">
        <v>126</v>
      </c>
      <c r="C250" s="12" t="s">
        <v>978</v>
      </c>
      <c r="D250" s="12" t="s">
        <v>979</v>
      </c>
      <c r="AF250" s="12">
        <v>64904761904.761902</v>
      </c>
      <c r="AG250" s="12">
        <v>74842105263.157898</v>
      </c>
      <c r="AH250" s="12">
        <v>80731578947.368393</v>
      </c>
      <c r="AI250" s="12">
        <v>79523809523.809494</v>
      </c>
      <c r="AJ250" s="12">
        <v>76666666666.666702</v>
      </c>
      <c r="AK250" s="12">
        <v>73906020558.002899</v>
      </c>
      <c r="AL250" s="12">
        <v>65648189143.7174</v>
      </c>
      <c r="AM250" s="12">
        <v>52549580264.806396</v>
      </c>
      <c r="AN250" s="12">
        <v>48213856468.5718</v>
      </c>
      <c r="AO250" s="12">
        <v>44558831005.062103</v>
      </c>
      <c r="AP250" s="12">
        <v>50151531591.731697</v>
      </c>
      <c r="AQ250" s="12">
        <v>41882523345.180397</v>
      </c>
      <c r="AR250" s="12">
        <v>31580639553.8298</v>
      </c>
      <c r="AS250" s="12">
        <v>32375083934.8241</v>
      </c>
      <c r="AT250" s="12">
        <v>39309580983.228203</v>
      </c>
      <c r="AU250" s="12">
        <v>43956163612.043297</v>
      </c>
      <c r="AV250" s="12">
        <v>52010355753.046097</v>
      </c>
      <c r="AW250" s="12">
        <v>67220154164.316597</v>
      </c>
      <c r="AX250" s="12">
        <v>89238865118.526306</v>
      </c>
      <c r="AY250" s="12">
        <v>111884752475.248</v>
      </c>
      <c r="AZ250" s="12">
        <v>148733861386.13901</v>
      </c>
      <c r="BA250" s="12">
        <v>188110390659.51501</v>
      </c>
      <c r="BB250" s="12">
        <v>121552153444.12399</v>
      </c>
      <c r="BC250" s="12">
        <v>141209170427.233</v>
      </c>
      <c r="BD250" s="12">
        <v>169333835201.55399</v>
      </c>
      <c r="BE250" s="12">
        <v>182591753827.94901</v>
      </c>
      <c r="BF250" s="12">
        <v>190498811460.02802</v>
      </c>
      <c r="BG250" s="12">
        <v>133503871861.72301</v>
      </c>
      <c r="BH250" s="12">
        <v>91030967789.071701</v>
      </c>
      <c r="BI250" s="12">
        <v>93355869403.922302</v>
      </c>
      <c r="BJ250" s="12">
        <v>112090505081.739</v>
      </c>
      <c r="BK250" s="12">
        <v>130891088293.55</v>
      </c>
      <c r="BL250" s="12">
        <v>153883047509.577</v>
      </c>
      <c r="BM250" s="12">
        <v>156617722013.34201</v>
      </c>
      <c r="BN250" s="12">
        <v>199765859570.935</v>
      </c>
      <c r="BO250" s="12">
        <v>160502737251.047</v>
      </c>
    </row>
    <row r="251" spans="1:67" x14ac:dyDescent="0.2">
      <c r="A251" s="12" t="s">
        <v>970</v>
      </c>
      <c r="B251" s="12" t="s">
        <v>1100</v>
      </c>
      <c r="C251" s="12" t="s">
        <v>978</v>
      </c>
      <c r="D251" s="12" t="s">
        <v>979</v>
      </c>
      <c r="E251" s="12">
        <v>236136360082.974</v>
      </c>
      <c r="F251" s="12">
        <v>220490841490.862</v>
      </c>
      <c r="G251" s="12">
        <v>222023728315.224</v>
      </c>
      <c r="H251" s="12">
        <v>242268291060.73199</v>
      </c>
      <c r="I251" s="12">
        <v>280066549216.35901</v>
      </c>
      <c r="J251" s="12">
        <v>314986131154.74298</v>
      </c>
      <c r="K251" s="12">
        <v>345233462869.17999</v>
      </c>
      <c r="L251" s="12">
        <v>351717338837.59601</v>
      </c>
      <c r="M251" s="12">
        <v>365743583697.76398</v>
      </c>
      <c r="N251" s="12">
        <v>408867237823.784</v>
      </c>
      <c r="O251" s="12">
        <v>450813776265.55902</v>
      </c>
      <c r="P251" s="12">
        <v>482922529736.16602</v>
      </c>
      <c r="Q251" s="12">
        <v>551710713977.37402</v>
      </c>
      <c r="R251" s="12">
        <v>692054139500.89404</v>
      </c>
      <c r="S251" s="12">
        <v>839243307933.18396</v>
      </c>
      <c r="T251" s="12">
        <v>968587924516.25098</v>
      </c>
      <c r="U251" s="12">
        <v>1005321574700.55</v>
      </c>
      <c r="V251" s="12">
        <v>1112842480972.9099</v>
      </c>
      <c r="W251" s="12">
        <v>1331868614366.72</v>
      </c>
      <c r="X251" s="12">
        <v>1640895079473.04</v>
      </c>
      <c r="Y251" s="12">
        <v>2015382172152.8</v>
      </c>
      <c r="Z251" s="12">
        <v>2130966682801.05</v>
      </c>
      <c r="AA251" s="12">
        <v>1957421571942.8</v>
      </c>
      <c r="AB251" s="12">
        <v>1943951034606.1499</v>
      </c>
      <c r="AC251" s="12">
        <v>2038366331218.1201</v>
      </c>
      <c r="AD251" s="12">
        <v>1944077359529.3201</v>
      </c>
      <c r="AE251" s="12">
        <v>1890490761890.4399</v>
      </c>
      <c r="AF251" s="12">
        <v>2107676388478.5701</v>
      </c>
      <c r="AG251" s="12">
        <v>2384411282642.8501</v>
      </c>
      <c r="AH251" s="12">
        <v>2447067376902.1299</v>
      </c>
      <c r="AI251" s="12">
        <v>2774503891839.9502</v>
      </c>
      <c r="AJ251" s="12">
        <v>2697545667058.3398</v>
      </c>
      <c r="AK251" s="12">
        <v>2853560660608.48</v>
      </c>
      <c r="AL251" s="12">
        <v>3274100387475.5298</v>
      </c>
      <c r="AM251" s="12">
        <v>3371475768953.1899</v>
      </c>
      <c r="AN251" s="12">
        <v>3764707901527.8599</v>
      </c>
      <c r="AO251" s="12">
        <v>4103660301262.6499</v>
      </c>
      <c r="AP251" s="12">
        <v>4368593575977.2998</v>
      </c>
      <c r="AQ251" s="12">
        <v>4197253024803.8101</v>
      </c>
      <c r="AR251" s="12">
        <v>4018486713613.6899</v>
      </c>
      <c r="AS251" s="12">
        <v>4452467033101.5195</v>
      </c>
      <c r="AT251" s="12">
        <v>4473535602250.1602</v>
      </c>
      <c r="AU251" s="12">
        <v>4537592261803.3398</v>
      </c>
      <c r="AV251" s="12">
        <v>5088581599981.5801</v>
      </c>
      <c r="AW251" s="12">
        <v>6067168588926.7803</v>
      </c>
      <c r="AX251" s="12">
        <v>7262800479007.1797</v>
      </c>
      <c r="AY251" s="12">
        <v>8647104081105</v>
      </c>
      <c r="AZ251" s="12">
        <v>10685408075326.4</v>
      </c>
      <c r="BA251" s="12">
        <v>13004669108217.199</v>
      </c>
      <c r="BB251" s="12">
        <v>12563513702323.4</v>
      </c>
      <c r="BC251" s="12">
        <v>15404029761165.801</v>
      </c>
      <c r="BD251" s="12">
        <v>18586822183033.102</v>
      </c>
      <c r="BE251" s="12">
        <v>19883675355488.102</v>
      </c>
      <c r="BF251" s="12">
        <v>21268492949592.602</v>
      </c>
      <c r="BG251" s="12">
        <v>21874590740590.199</v>
      </c>
      <c r="BH251" s="12">
        <v>20559996802665.801</v>
      </c>
      <c r="BI251" s="12">
        <v>20510053202252.5</v>
      </c>
      <c r="BJ251" s="12">
        <v>22686712042217.398</v>
      </c>
      <c r="BK251" s="12">
        <v>24376030533340.301</v>
      </c>
      <c r="BL251" s="12">
        <v>24832086863829</v>
      </c>
      <c r="BM251" s="12">
        <v>23959410661464.301</v>
      </c>
      <c r="BN251" s="12">
        <v>28515803406297.602</v>
      </c>
      <c r="BO251" s="12">
        <v>30110929970107.602</v>
      </c>
    </row>
    <row r="252" spans="1:67" x14ac:dyDescent="0.2">
      <c r="A252" s="12" t="s">
        <v>163</v>
      </c>
      <c r="B252" s="12" t="s">
        <v>162</v>
      </c>
      <c r="C252" s="12" t="s">
        <v>978</v>
      </c>
      <c r="D252" s="12" t="s">
        <v>979</v>
      </c>
      <c r="E252" s="12">
        <v>1208333333.3333299</v>
      </c>
      <c r="F252" s="12">
        <v>1600000000</v>
      </c>
      <c r="G252" s="12">
        <v>1763636363.6363599</v>
      </c>
      <c r="H252" s="12">
        <v>1553333333.3333299</v>
      </c>
      <c r="I252" s="12">
        <v>1970588235.2941201</v>
      </c>
      <c r="J252" s="12">
        <v>1893103448.2758601</v>
      </c>
      <c r="K252" s="12">
        <v>1805555555.5555601</v>
      </c>
      <c r="L252" s="12">
        <v>1597142857.1428599</v>
      </c>
      <c r="M252" s="12">
        <v>1592672413.7931001</v>
      </c>
      <c r="N252" s="12">
        <v>2004435483.87097</v>
      </c>
      <c r="O252" s="12">
        <v>2137096774.1935501</v>
      </c>
      <c r="P252" s="12">
        <v>2807258064.51613</v>
      </c>
      <c r="Q252" s="12">
        <v>2188700564.9717498</v>
      </c>
      <c r="R252" s="12">
        <v>3964994165.6942801</v>
      </c>
      <c r="S252" s="12">
        <v>4091438979.9635701</v>
      </c>
      <c r="T252" s="12">
        <v>3538014311.2701201</v>
      </c>
      <c r="U252" s="12">
        <v>3667716535.4330702</v>
      </c>
      <c r="V252" s="12">
        <v>4114374865.5046301</v>
      </c>
      <c r="W252" s="12">
        <v>4910526315.7894697</v>
      </c>
      <c r="X252" s="12">
        <v>7181487624.39398</v>
      </c>
      <c r="Y252" s="12">
        <v>10162460046.291201</v>
      </c>
      <c r="Z252" s="12">
        <v>11048642638.747299</v>
      </c>
      <c r="AA252" s="12">
        <v>9179000938.4248905</v>
      </c>
      <c r="AB252" s="12">
        <v>5102251570.86339</v>
      </c>
      <c r="AC252" s="12">
        <v>4850267475.3547001</v>
      </c>
      <c r="AD252" s="12">
        <v>4732017873.3836899</v>
      </c>
      <c r="AE252" s="12">
        <v>5880112788.4094696</v>
      </c>
      <c r="AF252" s="12">
        <v>7367494080.4001398</v>
      </c>
      <c r="AG252" s="12">
        <v>8213538368.8463497</v>
      </c>
      <c r="AH252" s="12">
        <v>8438951476.0664396</v>
      </c>
      <c r="AI252" s="12">
        <v>9298807850.2997894</v>
      </c>
      <c r="AJ252" s="12">
        <v>11206176650.907499</v>
      </c>
      <c r="AK252" s="12">
        <v>12878148790.7348</v>
      </c>
      <c r="AL252" s="12">
        <v>15002136971.1745</v>
      </c>
      <c r="AM252" s="12">
        <v>17474588895.8918</v>
      </c>
      <c r="AN252" s="12">
        <v>19297663096.550598</v>
      </c>
      <c r="AO252" s="12">
        <v>20515458113.585701</v>
      </c>
      <c r="AP252" s="12">
        <v>23969739233.896599</v>
      </c>
      <c r="AQ252" s="12">
        <v>25385886977.5228</v>
      </c>
      <c r="AR252" s="12">
        <v>23983945190.620201</v>
      </c>
      <c r="AS252" s="12">
        <v>22823270892.109402</v>
      </c>
      <c r="AT252" s="12">
        <v>20898761742.238602</v>
      </c>
      <c r="AU252" s="12">
        <v>13606515722.586399</v>
      </c>
      <c r="AV252" s="12">
        <v>12045638351.8507</v>
      </c>
      <c r="AW252" s="12">
        <v>13686329890.119101</v>
      </c>
      <c r="AX252" s="12">
        <v>17362857683.8545</v>
      </c>
      <c r="AY252" s="12">
        <v>19741420739.890099</v>
      </c>
      <c r="AZ252" s="12">
        <v>23797773024.3992</v>
      </c>
      <c r="BA252" s="12">
        <v>31119602538.832199</v>
      </c>
      <c r="BB252" s="12">
        <v>32708319077.517899</v>
      </c>
      <c r="BC252" s="12">
        <v>41950361211.958099</v>
      </c>
      <c r="BD252" s="12">
        <v>50342406067.077698</v>
      </c>
      <c r="BE252" s="12">
        <v>54232266358.781097</v>
      </c>
      <c r="BF252" s="12">
        <v>61337621933.785698</v>
      </c>
      <c r="BG252" s="12">
        <v>61496186973.902</v>
      </c>
      <c r="BH252" s="12">
        <v>57680327998.6689</v>
      </c>
      <c r="BI252" s="12">
        <v>57480788380.311996</v>
      </c>
      <c r="BJ252" s="12">
        <v>65006047680.322502</v>
      </c>
      <c r="BK252" s="12">
        <v>65203071817.981201</v>
      </c>
      <c r="BL252" s="12">
        <v>62048585618.504997</v>
      </c>
      <c r="BM252" s="12">
        <v>53666908053.765503</v>
      </c>
      <c r="BN252" s="12">
        <v>61412268248.946098</v>
      </c>
      <c r="BO252" s="12">
        <v>71177146197.495102</v>
      </c>
    </row>
    <row r="253" spans="1:67" x14ac:dyDescent="0.2">
      <c r="A253" s="12" t="s">
        <v>149</v>
      </c>
      <c r="B253" s="12" t="s">
        <v>148</v>
      </c>
      <c r="C253" s="12" t="s">
        <v>978</v>
      </c>
      <c r="D253" s="12" t="s">
        <v>979</v>
      </c>
      <c r="E253" s="12">
        <v>543300000000</v>
      </c>
      <c r="F253" s="12">
        <v>563300000000</v>
      </c>
      <c r="G253" s="12">
        <v>605100000000</v>
      </c>
      <c r="H253" s="12">
        <v>638600000000</v>
      </c>
      <c r="I253" s="12">
        <v>685800000000</v>
      </c>
      <c r="J253" s="12">
        <v>743700000000</v>
      </c>
      <c r="K253" s="12">
        <v>815000000000</v>
      </c>
      <c r="L253" s="12">
        <v>861700000000</v>
      </c>
      <c r="M253" s="12">
        <v>942500000000</v>
      </c>
      <c r="N253" s="12">
        <v>1019900000000</v>
      </c>
      <c r="O253" s="12">
        <v>1073303000000</v>
      </c>
      <c r="P253" s="12">
        <v>1164850000000</v>
      </c>
      <c r="Q253" s="12">
        <v>1279110000000</v>
      </c>
      <c r="R253" s="12">
        <v>1425376000000</v>
      </c>
      <c r="S253" s="12">
        <v>1545243000000</v>
      </c>
      <c r="T253" s="12">
        <v>1684904000000</v>
      </c>
      <c r="U253" s="12">
        <v>1873412000000</v>
      </c>
      <c r="V253" s="12">
        <v>2081826000000</v>
      </c>
      <c r="W253" s="12">
        <v>2351599000000</v>
      </c>
      <c r="X253" s="12">
        <v>2627333000000</v>
      </c>
      <c r="Y253" s="12">
        <v>2857307000000</v>
      </c>
      <c r="Z253" s="12">
        <v>3207041000000</v>
      </c>
      <c r="AA253" s="12">
        <v>3343789000000</v>
      </c>
      <c r="AB253" s="12">
        <v>3634038000000</v>
      </c>
      <c r="AC253" s="12">
        <v>4037613000000</v>
      </c>
      <c r="AD253" s="12">
        <v>4338979000000</v>
      </c>
      <c r="AE253" s="12">
        <v>4579631000000</v>
      </c>
      <c r="AF253" s="12">
        <v>4855215000000</v>
      </c>
      <c r="AG253" s="12">
        <v>5236438000000</v>
      </c>
      <c r="AH253" s="12">
        <v>5641580000000</v>
      </c>
      <c r="AI253" s="12">
        <v>5963144000000</v>
      </c>
      <c r="AJ253" s="12">
        <v>6158129000000</v>
      </c>
      <c r="AK253" s="12">
        <v>6520327000000</v>
      </c>
      <c r="AL253" s="12">
        <v>6858559000000</v>
      </c>
      <c r="AM253" s="12">
        <v>7287236000000</v>
      </c>
      <c r="AN253" s="12">
        <v>7639749000000</v>
      </c>
      <c r="AO253" s="12">
        <v>8073122000000</v>
      </c>
      <c r="AP253" s="12">
        <v>8577554457000</v>
      </c>
      <c r="AQ253" s="12">
        <v>9062818202000</v>
      </c>
      <c r="AR253" s="12">
        <v>9631174489000</v>
      </c>
      <c r="AS253" s="12">
        <v>10250947997000</v>
      </c>
      <c r="AT253" s="12">
        <v>10581929774000</v>
      </c>
      <c r="AU253" s="12">
        <v>10929112955000</v>
      </c>
      <c r="AV253" s="12">
        <v>11456442041000</v>
      </c>
      <c r="AW253" s="12">
        <v>12217193198000</v>
      </c>
      <c r="AX253" s="12">
        <v>13039199193000</v>
      </c>
      <c r="AY253" s="12">
        <v>13815586948000</v>
      </c>
      <c r="AZ253" s="12">
        <v>14474226905000</v>
      </c>
      <c r="BA253" s="12">
        <v>14769857911000</v>
      </c>
      <c r="BB253" s="12">
        <v>14478064934000</v>
      </c>
      <c r="BC253" s="12">
        <v>15048964444000</v>
      </c>
      <c r="BD253" s="12">
        <v>15599728123000</v>
      </c>
      <c r="BE253" s="12">
        <v>16253972230000</v>
      </c>
      <c r="BF253" s="12">
        <v>16843190993000</v>
      </c>
      <c r="BG253" s="12">
        <v>17550680174000</v>
      </c>
      <c r="BH253" s="12">
        <v>18206020741000</v>
      </c>
      <c r="BI253" s="12">
        <v>18695110842000</v>
      </c>
      <c r="BJ253" s="12">
        <v>19477336549000</v>
      </c>
      <c r="BK253" s="12">
        <v>20533057312000</v>
      </c>
      <c r="BL253" s="12">
        <v>21380976119000</v>
      </c>
      <c r="BM253" s="12">
        <v>21060473613000</v>
      </c>
      <c r="BN253" s="12">
        <v>23315080560000</v>
      </c>
      <c r="BO253" s="12">
        <v>25439700000000</v>
      </c>
    </row>
    <row r="254" spans="1:67" x14ac:dyDescent="0.2">
      <c r="A254" s="12" t="s">
        <v>199</v>
      </c>
      <c r="B254" s="12" t="s">
        <v>198</v>
      </c>
      <c r="C254" s="12" t="s">
        <v>978</v>
      </c>
      <c r="D254" s="12" t="s">
        <v>979</v>
      </c>
      <c r="AI254" s="12">
        <v>13360607990.6751</v>
      </c>
      <c r="AJ254" s="12">
        <v>13677622222.2222</v>
      </c>
      <c r="AK254" s="12">
        <v>12941297376.0933</v>
      </c>
      <c r="AL254" s="12">
        <v>13099013835.511101</v>
      </c>
      <c r="AM254" s="12">
        <v>12899156990.615601</v>
      </c>
      <c r="AN254" s="12">
        <v>13350468917.411501</v>
      </c>
      <c r="AO254" s="12">
        <v>13948892215.568899</v>
      </c>
      <c r="AP254" s="12">
        <v>14744603773.5849</v>
      </c>
      <c r="AQ254" s="12">
        <v>14988971210.838301</v>
      </c>
      <c r="AR254" s="12">
        <v>17078465982.0282</v>
      </c>
      <c r="AS254" s="12">
        <v>13760513969.313999</v>
      </c>
      <c r="AT254" s="12">
        <v>11401421329.197399</v>
      </c>
      <c r="AU254" s="12">
        <v>9687788512.8018398</v>
      </c>
      <c r="AV254" s="12">
        <v>10134453435.4603</v>
      </c>
      <c r="AW254" s="12">
        <v>12030023547.880699</v>
      </c>
      <c r="AX254" s="12">
        <v>14307509838.8053</v>
      </c>
      <c r="AY254" s="12">
        <v>17330833852.918999</v>
      </c>
      <c r="AZ254" s="12">
        <v>22311393927.881699</v>
      </c>
      <c r="BA254" s="12">
        <v>29549438883.833801</v>
      </c>
      <c r="BB254" s="12">
        <v>33689223673.257702</v>
      </c>
      <c r="BC254" s="12">
        <v>49765676402.449501</v>
      </c>
      <c r="BD254" s="12">
        <v>60178909297.208</v>
      </c>
      <c r="BE254" s="12">
        <v>67517349212.060898</v>
      </c>
      <c r="BF254" s="12">
        <v>73180037911.417297</v>
      </c>
      <c r="BG254" s="12">
        <v>80845385816.449707</v>
      </c>
      <c r="BH254" s="12">
        <v>86196264741.884201</v>
      </c>
      <c r="BI254" s="12">
        <v>86138288632.5513</v>
      </c>
      <c r="BJ254" s="12">
        <v>62081322740.016197</v>
      </c>
      <c r="BK254" s="12">
        <v>52870108217.294899</v>
      </c>
      <c r="BL254" s="12">
        <v>60283503705.390701</v>
      </c>
      <c r="BM254" s="12">
        <v>60224701296.788498</v>
      </c>
      <c r="BN254" s="12">
        <v>69600614987.350906</v>
      </c>
      <c r="BO254" s="12">
        <v>80391853887.404907</v>
      </c>
    </row>
    <row r="255" spans="1:67" x14ac:dyDescent="0.2">
      <c r="A255" s="12" t="s">
        <v>385</v>
      </c>
      <c r="B255" s="12" t="s">
        <v>384</v>
      </c>
      <c r="C255" s="12" t="s">
        <v>978</v>
      </c>
      <c r="D255" s="12" t="s">
        <v>979</v>
      </c>
      <c r="E255" s="12">
        <v>13066634.000081699</v>
      </c>
      <c r="F255" s="12">
        <v>13999965.0000875</v>
      </c>
      <c r="G255" s="12">
        <v>14524963.6875908</v>
      </c>
      <c r="H255" s="12">
        <v>13708299.0625857</v>
      </c>
      <c r="I255" s="12">
        <v>14758296.437592199</v>
      </c>
      <c r="J255" s="12">
        <v>15108295.562594401</v>
      </c>
      <c r="K255" s="12">
        <v>16099959.7501006</v>
      </c>
      <c r="L255" s="12">
        <v>15835106.032778099</v>
      </c>
      <c r="M255" s="12">
        <v>15350000</v>
      </c>
      <c r="N255" s="12">
        <v>16650000</v>
      </c>
      <c r="O255" s="12">
        <v>18450000</v>
      </c>
      <c r="P255" s="12">
        <v>20051922.326144502</v>
      </c>
      <c r="Q255" s="12">
        <v>27585804.8653032</v>
      </c>
      <c r="R255" s="12">
        <v>30165081.085881699</v>
      </c>
      <c r="S255" s="12">
        <v>32923702.7281866</v>
      </c>
      <c r="T255" s="12">
        <v>33237225.988065202</v>
      </c>
      <c r="U255" s="12">
        <v>32792844.682944801</v>
      </c>
      <c r="V255" s="12">
        <v>49353161.851851903</v>
      </c>
      <c r="W255" s="12">
        <v>60844771.4814815</v>
      </c>
      <c r="X255" s="12">
        <v>71096359.629629597</v>
      </c>
      <c r="Y255" s="12">
        <v>82340339.629629597</v>
      </c>
      <c r="Z255" s="12">
        <v>102086539.259259</v>
      </c>
      <c r="AA255" s="12">
        <v>113759203.333333</v>
      </c>
      <c r="AB255" s="12">
        <v>122255349.62963</v>
      </c>
      <c r="AC255" s="12">
        <v>135024987.777778</v>
      </c>
      <c r="AD255" s="12">
        <v>145641705.18518499</v>
      </c>
      <c r="AE255" s="12">
        <v>160846656.66666701</v>
      </c>
      <c r="AF255" s="12">
        <v>175580647.40740699</v>
      </c>
      <c r="AG255" s="12">
        <v>200726712.59259301</v>
      </c>
      <c r="AH255" s="12">
        <v>214745002.222222</v>
      </c>
      <c r="AI255" s="12">
        <v>240366666.66666701</v>
      </c>
      <c r="AJ255" s="12">
        <v>254829629.62963</v>
      </c>
      <c r="AK255" s="12">
        <v>277955555.555556</v>
      </c>
      <c r="AL255" s="12">
        <v>286307407.40740699</v>
      </c>
      <c r="AM255" s="12">
        <v>289437037.03703701</v>
      </c>
      <c r="AN255" s="12">
        <v>316007407.40740699</v>
      </c>
      <c r="AO255" s="12">
        <v>331488888.88888901</v>
      </c>
      <c r="AP255" s="12">
        <v>347770370.37036997</v>
      </c>
      <c r="AQ255" s="12">
        <v>373618518.51851898</v>
      </c>
      <c r="AR255" s="12">
        <v>390718518.51851898</v>
      </c>
      <c r="AS255" s="12">
        <v>427946037.03703701</v>
      </c>
      <c r="AT255" s="12">
        <v>462072333.33333302</v>
      </c>
      <c r="AU255" s="12">
        <v>487763851.851852</v>
      </c>
      <c r="AV255" s="12">
        <v>509090888.88888901</v>
      </c>
      <c r="AW255" s="12">
        <v>549900185.18518496</v>
      </c>
      <c r="AX255" s="12">
        <v>579948925.92592597</v>
      </c>
      <c r="AY255" s="12">
        <v>643501148.14814794</v>
      </c>
      <c r="AZ255" s="12">
        <v>713596666.66666698</v>
      </c>
      <c r="BA255" s="12">
        <v>732663259.25925899</v>
      </c>
      <c r="BB255" s="12">
        <v>714300259.25925899</v>
      </c>
      <c r="BC255" s="12">
        <v>720447888.88888896</v>
      </c>
      <c r="BD255" s="12">
        <v>713796370.37037003</v>
      </c>
      <c r="BE255" s="12">
        <v>730032592.59259295</v>
      </c>
      <c r="BF255" s="12">
        <v>764781259.25925899</v>
      </c>
      <c r="BG255" s="12">
        <v>770900000</v>
      </c>
      <c r="BH255" s="12">
        <v>786555555.55555499</v>
      </c>
      <c r="BI255" s="12">
        <v>814303703.703704</v>
      </c>
      <c r="BJ255" s="12">
        <v>844037037.03703701</v>
      </c>
      <c r="BK255" s="12">
        <v>884329629.62962997</v>
      </c>
      <c r="BL255" s="12">
        <v>910766666.66666698</v>
      </c>
      <c r="BM255" s="12">
        <v>869111111.11111104</v>
      </c>
      <c r="BN255" s="12">
        <v>872222222.22222197</v>
      </c>
      <c r="BO255" s="12">
        <v>948559259.25925899</v>
      </c>
    </row>
    <row r="256" spans="1:67" x14ac:dyDescent="0.2">
      <c r="A256" s="12" t="s">
        <v>261</v>
      </c>
      <c r="B256" s="12" t="s">
        <v>260</v>
      </c>
      <c r="C256" s="12" t="s">
        <v>978</v>
      </c>
      <c r="D256" s="12" t="s">
        <v>979</v>
      </c>
      <c r="E256" s="12">
        <v>7663938303.0717201</v>
      </c>
      <c r="F256" s="12">
        <v>8067267030.6186304</v>
      </c>
      <c r="G256" s="12">
        <v>8814309884.2116508</v>
      </c>
      <c r="H256" s="12">
        <v>9608717288.1705704</v>
      </c>
      <c r="I256" s="12">
        <v>8192413793.1034498</v>
      </c>
      <c r="J256" s="12">
        <v>8427777777.7777796</v>
      </c>
      <c r="K256" s="12">
        <v>8781333333.3333302</v>
      </c>
      <c r="L256" s="12">
        <v>9250000000</v>
      </c>
      <c r="M256" s="12">
        <v>10034444444.444401</v>
      </c>
      <c r="N256" s="12">
        <v>10285111111.111099</v>
      </c>
      <c r="O256" s="12">
        <v>11561111111.111099</v>
      </c>
      <c r="P256" s="12">
        <v>12986590909.0909</v>
      </c>
      <c r="Q256" s="12">
        <v>13977727272.727301</v>
      </c>
      <c r="R256" s="12">
        <v>17035581395.348801</v>
      </c>
      <c r="S256" s="12">
        <v>26100930232.558102</v>
      </c>
      <c r="T256" s="12">
        <v>27464651162.790699</v>
      </c>
      <c r="U256" s="12">
        <v>31419534883.720901</v>
      </c>
      <c r="V256" s="12">
        <v>36210697674.418602</v>
      </c>
      <c r="W256" s="12">
        <v>39316279069.767403</v>
      </c>
      <c r="X256" s="12">
        <v>48310930232.558098</v>
      </c>
      <c r="Y256" s="12">
        <v>59116511627.906998</v>
      </c>
      <c r="Z256" s="12">
        <v>66327441860.465103</v>
      </c>
      <c r="AA256" s="12">
        <v>67736744186.046501</v>
      </c>
      <c r="AB256" s="12">
        <v>67556279069.767403</v>
      </c>
      <c r="AC256" s="12">
        <v>59867743467.933502</v>
      </c>
      <c r="AD256" s="12">
        <v>61965466666.666702</v>
      </c>
      <c r="AE256" s="12">
        <v>60516123711.340202</v>
      </c>
      <c r="AF256" s="12">
        <v>48029034482.758598</v>
      </c>
      <c r="AG256" s="12">
        <v>60226413793.103401</v>
      </c>
      <c r="AH256" s="12">
        <v>43536709104.011497</v>
      </c>
      <c r="AI256" s="12">
        <v>48606952194.7752</v>
      </c>
      <c r="AJ256" s="12">
        <v>53453444786.625603</v>
      </c>
      <c r="AK256" s="12">
        <v>60416519620.0849</v>
      </c>
      <c r="AL256" s="12">
        <v>60037460783.194099</v>
      </c>
      <c r="AM256" s="12">
        <v>58418666666.666702</v>
      </c>
      <c r="AN256" s="12">
        <v>77389487770.088303</v>
      </c>
      <c r="AO256" s="12">
        <v>70543211119.098999</v>
      </c>
      <c r="AP256" s="12">
        <v>85837678559.832397</v>
      </c>
      <c r="AQ256" s="12">
        <v>91336763255.059692</v>
      </c>
      <c r="AR256" s="12">
        <v>97972842461.513107</v>
      </c>
      <c r="AS256" s="12">
        <v>117146466002.661</v>
      </c>
      <c r="AT256" s="12">
        <v>122911036746.729</v>
      </c>
      <c r="AU256" s="12">
        <v>92893587733.654907</v>
      </c>
      <c r="AV256" s="12">
        <v>83620628582.1082</v>
      </c>
      <c r="AW256" s="12">
        <v>112451400424.964</v>
      </c>
      <c r="AX256" s="12">
        <v>145513489651.87201</v>
      </c>
      <c r="AY256" s="12">
        <v>183477522123.89401</v>
      </c>
      <c r="AZ256" s="12">
        <v>230364012575.68701</v>
      </c>
      <c r="BA256" s="12">
        <v>315953388510.67798</v>
      </c>
      <c r="BB256" s="12">
        <v>329787628928.47101</v>
      </c>
      <c r="BC256" s="12">
        <v>393192354510.65302</v>
      </c>
      <c r="BD256" s="12">
        <v>316482190800.36401</v>
      </c>
      <c r="BE256" s="12">
        <v>381286237847.66699</v>
      </c>
      <c r="BF256" s="12">
        <v>371005379786.56598</v>
      </c>
      <c r="BG256" s="12">
        <v>482359318767.703</v>
      </c>
    </row>
    <row r="257" spans="1:67" x14ac:dyDescent="0.2">
      <c r="A257" s="12" t="s">
        <v>902</v>
      </c>
      <c r="B257" s="12" t="s">
        <v>1101</v>
      </c>
      <c r="C257" s="12" t="s">
        <v>978</v>
      </c>
      <c r="D257" s="12" t="s">
        <v>979</v>
      </c>
    </row>
    <row r="258" spans="1:67" x14ac:dyDescent="0.2">
      <c r="A258" s="12" t="s">
        <v>1102</v>
      </c>
      <c r="B258" s="12" t="s">
        <v>1103</v>
      </c>
      <c r="C258" s="12" t="s">
        <v>978</v>
      </c>
      <c r="D258" s="12" t="s">
        <v>979</v>
      </c>
      <c r="AU258" s="12">
        <v>3262000000</v>
      </c>
      <c r="AV258" s="12">
        <v>3443000000</v>
      </c>
      <c r="AW258" s="12">
        <v>3797000000</v>
      </c>
      <c r="AX258" s="12">
        <v>4428000000</v>
      </c>
      <c r="AY258" s="12">
        <v>4484000000</v>
      </c>
      <c r="AZ258" s="12">
        <v>4784000000</v>
      </c>
      <c r="BA258" s="12">
        <v>4244000000</v>
      </c>
      <c r="BB258" s="12">
        <v>4201000000</v>
      </c>
      <c r="BC258" s="12">
        <v>4324000000</v>
      </c>
      <c r="BD258" s="12">
        <v>4223000000</v>
      </c>
      <c r="BE258" s="12">
        <v>4089000000</v>
      </c>
      <c r="BF258" s="12">
        <v>3738000000</v>
      </c>
      <c r="BG258" s="12">
        <v>3565000000</v>
      </c>
      <c r="BH258" s="12">
        <v>3663000000</v>
      </c>
      <c r="BI258" s="12">
        <v>3798000000</v>
      </c>
      <c r="BJ258" s="12">
        <v>3794000000</v>
      </c>
      <c r="BK258" s="12">
        <v>3923000000</v>
      </c>
      <c r="BL258" s="12">
        <v>4121000000</v>
      </c>
      <c r="BM258" s="12">
        <v>4189000000</v>
      </c>
      <c r="BN258" s="12">
        <v>4444000000</v>
      </c>
    </row>
    <row r="259" spans="1:67" x14ac:dyDescent="0.2">
      <c r="A259" s="12" t="s">
        <v>1104</v>
      </c>
      <c r="B259" s="12" t="s">
        <v>116</v>
      </c>
      <c r="C259" s="12" t="s">
        <v>978</v>
      </c>
      <c r="D259" s="12" t="s">
        <v>979</v>
      </c>
      <c r="AD259" s="12">
        <v>14094687820.744499</v>
      </c>
      <c r="AE259" s="12">
        <v>26336616250.439701</v>
      </c>
      <c r="AF259" s="12">
        <v>36658108850.314796</v>
      </c>
      <c r="AG259" s="12">
        <v>25423812648.594101</v>
      </c>
      <c r="AH259" s="12">
        <v>6293304974.5940304</v>
      </c>
      <c r="AI259" s="12">
        <v>6471740805.5698404</v>
      </c>
      <c r="AJ259" s="12">
        <v>9613369520.4188499</v>
      </c>
      <c r="AK259" s="12">
        <v>9866990236.4358692</v>
      </c>
      <c r="AL259" s="12">
        <v>13180953598.1716</v>
      </c>
      <c r="AM259" s="12">
        <v>16286433533.3228</v>
      </c>
      <c r="AN259" s="12">
        <v>20736164458.9505</v>
      </c>
      <c r="AO259" s="12">
        <v>24657470574.750099</v>
      </c>
      <c r="AP259" s="12">
        <v>26843700441.548199</v>
      </c>
      <c r="AQ259" s="12">
        <v>27209602050.0452</v>
      </c>
      <c r="AR259" s="12">
        <v>28683659006.7752</v>
      </c>
      <c r="AS259" s="12">
        <v>31172518403.3162</v>
      </c>
      <c r="AT259" s="12">
        <v>32685198808.554901</v>
      </c>
      <c r="AU259" s="12">
        <v>35064105500.834396</v>
      </c>
      <c r="AV259" s="12">
        <v>39552513231.916901</v>
      </c>
      <c r="AW259" s="12">
        <v>45427854693.255402</v>
      </c>
      <c r="AX259" s="12">
        <v>57633255738.199203</v>
      </c>
      <c r="AY259" s="12">
        <v>66371664817.043602</v>
      </c>
      <c r="AZ259" s="12">
        <v>77414425532.245193</v>
      </c>
      <c r="BA259" s="12">
        <v>99130304099.127396</v>
      </c>
      <c r="BB259" s="12">
        <v>106014659565.214</v>
      </c>
      <c r="BC259" s="12">
        <v>147201173196.979</v>
      </c>
      <c r="BD259" s="12">
        <v>172595049183.92499</v>
      </c>
      <c r="BE259" s="12">
        <v>195590661129.24899</v>
      </c>
      <c r="BF259" s="12">
        <v>213708811665.34</v>
      </c>
      <c r="BG259" s="12">
        <v>233451469642.51901</v>
      </c>
      <c r="BH259" s="12">
        <v>239258328381.741</v>
      </c>
      <c r="BI259" s="12">
        <v>257096001177.98199</v>
      </c>
      <c r="BJ259" s="12">
        <v>281353605986.90302</v>
      </c>
      <c r="BK259" s="12">
        <v>310106478394.659</v>
      </c>
      <c r="BL259" s="12">
        <v>334365270496.66699</v>
      </c>
      <c r="BM259" s="12">
        <v>346615738537.79602</v>
      </c>
      <c r="BN259" s="12">
        <v>366137569122.21503</v>
      </c>
      <c r="BO259" s="12">
        <v>408802378904.83801</v>
      </c>
    </row>
    <row r="260" spans="1:67" x14ac:dyDescent="0.2">
      <c r="A260" s="12" t="s">
        <v>387</v>
      </c>
      <c r="B260" s="12" t="s">
        <v>386</v>
      </c>
      <c r="C260" s="12" t="s">
        <v>978</v>
      </c>
      <c r="D260" s="12" t="s">
        <v>979</v>
      </c>
      <c r="X260" s="12">
        <v>119258835.33552501</v>
      </c>
      <c r="Y260" s="12">
        <v>121185497.569261</v>
      </c>
      <c r="Z260" s="12">
        <v>113781795.82356</v>
      </c>
      <c r="AA260" s="12">
        <v>114501912.52286699</v>
      </c>
      <c r="AB260" s="12">
        <v>117389554.191406</v>
      </c>
      <c r="AC260" s="12">
        <v>144482515.36833599</v>
      </c>
      <c r="AD260" s="12">
        <v>131856420.70318399</v>
      </c>
      <c r="AE260" s="12">
        <v>126498935.335649</v>
      </c>
      <c r="AF260" s="12">
        <v>139464173.547324</v>
      </c>
      <c r="AG260" s="12">
        <v>158351368.43314901</v>
      </c>
      <c r="AH260" s="12">
        <v>154013202.11647499</v>
      </c>
      <c r="AI260" s="12">
        <v>168879207.24414799</v>
      </c>
      <c r="AJ260" s="12">
        <v>201334169.054441</v>
      </c>
      <c r="AK260" s="12">
        <v>209088824.60843799</v>
      </c>
      <c r="AL260" s="12">
        <v>200491853.16784701</v>
      </c>
      <c r="AM260" s="12">
        <v>233701301.490486</v>
      </c>
      <c r="AN260" s="12">
        <v>249333250.08250701</v>
      </c>
      <c r="AO260" s="12">
        <v>261370044.48661399</v>
      </c>
      <c r="AP260" s="12">
        <v>272771209.113662</v>
      </c>
      <c r="AQ260" s="12">
        <v>262293410.708334</v>
      </c>
      <c r="AR260" s="12">
        <v>268006972.69029599</v>
      </c>
      <c r="AS260" s="12">
        <v>272014627.835262</v>
      </c>
      <c r="AT260" s="12">
        <v>257926881.72042999</v>
      </c>
      <c r="AU260" s="12">
        <v>262596535.54902801</v>
      </c>
      <c r="AV260" s="12">
        <v>314471413.00177598</v>
      </c>
      <c r="AW260" s="12">
        <v>364996869.12961799</v>
      </c>
      <c r="AX260" s="12">
        <v>394962433.02936798</v>
      </c>
      <c r="AY260" s="12">
        <v>439358586.53558803</v>
      </c>
      <c r="AZ260" s="12">
        <v>516392922.51372802</v>
      </c>
      <c r="BA260" s="12">
        <v>590748429.40190196</v>
      </c>
      <c r="BB260" s="12">
        <v>592622319.14566398</v>
      </c>
      <c r="BC260" s="12">
        <v>670712979.68203795</v>
      </c>
      <c r="BD260" s="12">
        <v>770153588.21883297</v>
      </c>
      <c r="BE260" s="12">
        <v>747839697.746593</v>
      </c>
      <c r="BF260" s="12">
        <v>758304466.24533904</v>
      </c>
      <c r="BG260" s="12">
        <v>772315983.81842995</v>
      </c>
      <c r="BH260" s="12">
        <v>730870802.96705103</v>
      </c>
      <c r="BI260" s="12">
        <v>780889605.89997697</v>
      </c>
      <c r="BJ260" s="12">
        <v>880061833.690341</v>
      </c>
      <c r="BK260" s="12">
        <v>914736985.43094397</v>
      </c>
      <c r="BL260" s="12">
        <v>936526267.62251306</v>
      </c>
      <c r="BM260" s="12">
        <v>909421043.508407</v>
      </c>
      <c r="BN260" s="12">
        <v>971636097.85066605</v>
      </c>
      <c r="BO260" s="12">
        <v>1055811723.74753</v>
      </c>
    </row>
    <row r="261" spans="1:67" x14ac:dyDescent="0.2">
      <c r="A261" s="12" t="s">
        <v>1105</v>
      </c>
      <c r="B261" s="12" t="s">
        <v>1106</v>
      </c>
      <c r="C261" s="12" t="s">
        <v>978</v>
      </c>
      <c r="D261" s="12" t="s">
        <v>979</v>
      </c>
      <c r="E261" s="12">
        <v>1381135538261.78</v>
      </c>
      <c r="F261" s="12">
        <v>1446356012998.97</v>
      </c>
      <c r="G261" s="12">
        <v>1546369233664.9099</v>
      </c>
      <c r="H261" s="12">
        <v>1670666095533.53</v>
      </c>
      <c r="I261" s="12">
        <v>1832615597845.8301</v>
      </c>
      <c r="J261" s="12">
        <v>1994519287845.1799</v>
      </c>
      <c r="K261" s="12">
        <v>2161645029633.1299</v>
      </c>
      <c r="L261" s="12">
        <v>2308597106940.3301</v>
      </c>
      <c r="M261" s="12">
        <v>2491805013228.5698</v>
      </c>
      <c r="N261" s="12">
        <v>2745215959143.1201</v>
      </c>
      <c r="O261" s="12">
        <v>3009970276019.3398</v>
      </c>
      <c r="P261" s="12">
        <v>3323043151963.3501</v>
      </c>
      <c r="Q261" s="12">
        <v>3835299346536.1401</v>
      </c>
      <c r="R261" s="12">
        <v>4655916653521.9297</v>
      </c>
      <c r="S261" s="12">
        <v>5333766305343.4697</v>
      </c>
      <c r="T261" s="12">
        <v>5965065406330.3496</v>
      </c>
      <c r="U261" s="12">
        <v>6480247449216.5898</v>
      </c>
      <c r="V261" s="12">
        <v>7329900006115.2998</v>
      </c>
      <c r="W261" s="12">
        <v>8738280766923.54</v>
      </c>
      <c r="X261" s="12">
        <v>10163180526877.5</v>
      </c>
      <c r="Y261" s="12">
        <v>11495789214599.801</v>
      </c>
      <c r="Z261" s="12">
        <v>11853209313106.801</v>
      </c>
      <c r="AA261" s="12">
        <v>11684061983700.6</v>
      </c>
      <c r="AB261" s="12">
        <v>12000649666745.801</v>
      </c>
      <c r="AC261" s="12">
        <v>12460880267170.5</v>
      </c>
      <c r="AD261" s="12">
        <v>12977172915274.699</v>
      </c>
      <c r="AE261" s="12">
        <v>15348791783903.9</v>
      </c>
      <c r="AF261" s="12">
        <v>17551013012517</v>
      </c>
      <c r="AG261" s="12">
        <v>19641102432253.301</v>
      </c>
      <c r="AH261" s="12">
        <v>20434565353464.398</v>
      </c>
      <c r="AI261" s="12">
        <v>22935042230118.199</v>
      </c>
      <c r="AJ261" s="12">
        <v>23932507779938.801</v>
      </c>
      <c r="AK261" s="12">
        <v>25623908008099.301</v>
      </c>
      <c r="AL261" s="12">
        <v>26235072405898.801</v>
      </c>
      <c r="AM261" s="12">
        <v>27997507274038.301</v>
      </c>
      <c r="AN261" s="12">
        <v>31175461868865.898</v>
      </c>
      <c r="AO261" s="12">
        <v>31899771523778.398</v>
      </c>
      <c r="AP261" s="12">
        <v>31797634699128.602</v>
      </c>
      <c r="AQ261" s="12">
        <v>31748591331328.5</v>
      </c>
      <c r="AR261" s="12">
        <v>32784573286989.602</v>
      </c>
      <c r="AS261" s="12">
        <v>33898970797277.102</v>
      </c>
      <c r="AT261" s="12">
        <v>33689213029454.699</v>
      </c>
      <c r="AU261" s="12">
        <v>34982495915196.5</v>
      </c>
      <c r="AV261" s="12">
        <v>39219230010336.297</v>
      </c>
      <c r="AW261" s="12">
        <v>44195420601851.102</v>
      </c>
      <c r="AX261" s="12">
        <v>47859245064225.398</v>
      </c>
      <c r="AY261" s="12">
        <v>51862624129061.797</v>
      </c>
      <c r="AZ261" s="12">
        <v>58446786855978.898</v>
      </c>
      <c r="BA261" s="12">
        <v>64227648211192.102</v>
      </c>
      <c r="BB261" s="12">
        <v>60879275783280.602</v>
      </c>
      <c r="BC261" s="12">
        <v>66691878550808.703</v>
      </c>
      <c r="BD261" s="12">
        <v>73941747948102.203</v>
      </c>
      <c r="BE261" s="12">
        <v>75586975514964.906</v>
      </c>
      <c r="BF261" s="12">
        <v>77691712051100.703</v>
      </c>
      <c r="BG261" s="12">
        <v>79809844445342</v>
      </c>
      <c r="BH261" s="12">
        <v>75249884359683.5</v>
      </c>
      <c r="BI261" s="12">
        <v>76458442478030.797</v>
      </c>
      <c r="BJ261" s="12">
        <v>81395338600556.203</v>
      </c>
      <c r="BK261" s="12">
        <v>86542678179037.406</v>
      </c>
      <c r="BL261" s="12">
        <v>87777403956338.594</v>
      </c>
      <c r="BM261" s="12">
        <v>85272676295873.906</v>
      </c>
      <c r="BN261" s="12">
        <v>97153181162291</v>
      </c>
      <c r="BO261" s="12">
        <v>100879560825391</v>
      </c>
    </row>
    <row r="262" spans="1:67" x14ac:dyDescent="0.2">
      <c r="A262" s="12" t="s">
        <v>87</v>
      </c>
      <c r="B262" s="12" t="s">
        <v>86</v>
      </c>
      <c r="C262" s="12" t="s">
        <v>978</v>
      </c>
      <c r="D262" s="12" t="s">
        <v>979</v>
      </c>
      <c r="AA262" s="12">
        <v>121221651.619316</v>
      </c>
      <c r="AB262" s="12">
        <v>111862823.57497901</v>
      </c>
      <c r="AC262" s="12">
        <v>109200934.328518</v>
      </c>
      <c r="AD262" s="12">
        <v>95572172.983565703</v>
      </c>
      <c r="AE262" s="12">
        <v>100947848.64478</v>
      </c>
      <c r="AF262" s="12">
        <v>111713922.141578</v>
      </c>
      <c r="AG262" s="12">
        <v>133016065.41606501</v>
      </c>
      <c r="AH262" s="12">
        <v>122888609.715243</v>
      </c>
      <c r="AI262" s="12">
        <v>125766269.755358</v>
      </c>
      <c r="AJ262" s="12">
        <v>125597205.422315</v>
      </c>
      <c r="AK262" s="12">
        <v>132303041.36252999</v>
      </c>
      <c r="AL262" s="12">
        <v>133122897.196262</v>
      </c>
      <c r="AM262" s="12">
        <v>221098106.508876</v>
      </c>
      <c r="AN262" s="12">
        <v>224865731.38190299</v>
      </c>
      <c r="AO262" s="12">
        <v>249907868.77242401</v>
      </c>
      <c r="AP262" s="12">
        <v>285475591.89651</v>
      </c>
      <c r="AQ262" s="12">
        <v>269485244.15511</v>
      </c>
      <c r="AR262" s="12">
        <v>255408060.25948599</v>
      </c>
      <c r="AS262" s="12">
        <v>258856139.798489</v>
      </c>
      <c r="AT262" s="12">
        <v>266299591.47942799</v>
      </c>
      <c r="AU262" s="12">
        <v>281790134.211972</v>
      </c>
      <c r="AV262" s="12">
        <v>333426188.41876</v>
      </c>
      <c r="AW262" s="12">
        <v>407747565.09695899</v>
      </c>
      <c r="AX262" s="12">
        <v>476801793.15942901</v>
      </c>
      <c r="AY262" s="12">
        <v>499923757.78073603</v>
      </c>
      <c r="AZ262" s="12">
        <v>573548459.833372</v>
      </c>
      <c r="BA262" s="12">
        <v>641346191.66477597</v>
      </c>
      <c r="BB262" s="12">
        <v>628006115.424052</v>
      </c>
      <c r="BC262" s="12">
        <v>680260907.153983</v>
      </c>
      <c r="BD262" s="12">
        <v>744097050.16911495</v>
      </c>
      <c r="BE262" s="12">
        <v>773141661.16554797</v>
      </c>
      <c r="BF262" s="12">
        <v>797736334.28130496</v>
      </c>
      <c r="BG262" s="12">
        <v>796683519.59384203</v>
      </c>
      <c r="BH262" s="12">
        <v>824150498.65353596</v>
      </c>
      <c r="BI262" s="12">
        <v>843924796.69742095</v>
      </c>
      <c r="BJ262" s="12">
        <v>884844384.46321404</v>
      </c>
      <c r="BK262" s="12">
        <v>878448433.40434206</v>
      </c>
      <c r="BL262" s="12">
        <v>912950466.064906</v>
      </c>
      <c r="BM262" s="12">
        <v>868898358.26643705</v>
      </c>
      <c r="BN262" s="12">
        <v>843923638.73301804</v>
      </c>
      <c r="BO262" s="12">
        <v>832945205.63718498</v>
      </c>
    </row>
    <row r="263" spans="1:67" x14ac:dyDescent="0.2">
      <c r="A263" s="12" t="s">
        <v>938</v>
      </c>
      <c r="B263" s="12" t="s">
        <v>1107</v>
      </c>
      <c r="C263" s="12" t="s">
        <v>978</v>
      </c>
      <c r="D263" s="12" t="s">
        <v>979</v>
      </c>
      <c r="BA263" s="12">
        <v>5181776768.7124701</v>
      </c>
      <c r="BB263" s="12">
        <v>5015894692.9702702</v>
      </c>
      <c r="BC263" s="12">
        <v>5343950556.0718498</v>
      </c>
      <c r="BD263" s="12">
        <v>6341613609.9797602</v>
      </c>
      <c r="BE263" s="12">
        <v>6163484244.6340799</v>
      </c>
      <c r="BF263" s="12">
        <v>6735328609.6594</v>
      </c>
      <c r="BG263" s="12">
        <v>7074394734.8843098</v>
      </c>
      <c r="BH263" s="12">
        <v>6295848422.7157297</v>
      </c>
      <c r="BI263" s="12">
        <v>6682677289.9899397</v>
      </c>
      <c r="BJ263" s="12">
        <v>7180764703.3571796</v>
      </c>
      <c r="BK263" s="12">
        <v>7878759714.8232203</v>
      </c>
      <c r="BL263" s="12">
        <v>7899737577.4728603</v>
      </c>
      <c r="BM263" s="12">
        <v>7717145217.8124704</v>
      </c>
      <c r="BN263" s="12">
        <v>9412034299.2312202</v>
      </c>
      <c r="BO263" s="12">
        <v>9409473517.9530392</v>
      </c>
    </row>
    <row r="264" spans="1:67" x14ac:dyDescent="0.2">
      <c r="A264" s="12" t="s">
        <v>331</v>
      </c>
      <c r="B264" s="12" t="s">
        <v>330</v>
      </c>
      <c r="C264" s="12" t="s">
        <v>978</v>
      </c>
      <c r="D264" s="12" t="s">
        <v>979</v>
      </c>
      <c r="AI264" s="12">
        <v>12643821568.962601</v>
      </c>
      <c r="AJ264" s="12">
        <v>14665445462.114901</v>
      </c>
      <c r="AK264" s="12">
        <v>17959367194.005001</v>
      </c>
      <c r="AL264" s="12">
        <v>21736802664.446301</v>
      </c>
      <c r="AM264" s="12">
        <v>28019483763.530399</v>
      </c>
      <c r="AN264" s="12">
        <v>12796345679.0123</v>
      </c>
      <c r="AO264" s="12">
        <v>6496163615.6608601</v>
      </c>
      <c r="AP264" s="12">
        <v>6838298530.5491104</v>
      </c>
      <c r="AQ264" s="12">
        <v>6322175565.9465103</v>
      </c>
      <c r="AR264" s="12">
        <v>7639325295.8828697</v>
      </c>
      <c r="AS264" s="12">
        <v>9679316770.1863308</v>
      </c>
      <c r="AT264" s="12">
        <v>9852990692.9871407</v>
      </c>
      <c r="AU264" s="12">
        <v>10693430511.4664</v>
      </c>
      <c r="AV264" s="12">
        <v>11777532662.0499</v>
      </c>
      <c r="AW264" s="12">
        <v>13867634371.477301</v>
      </c>
      <c r="AX264" s="12">
        <v>16731566717.188801</v>
      </c>
      <c r="AY264" s="12">
        <v>19063143369.858002</v>
      </c>
      <c r="AZ264" s="12">
        <v>21650528674.0933</v>
      </c>
      <c r="BA264" s="12">
        <v>26910855807.287998</v>
      </c>
      <c r="BB264" s="12">
        <v>25130278212.557499</v>
      </c>
      <c r="BC264" s="12">
        <v>30906749533.221001</v>
      </c>
      <c r="BD264" s="12">
        <v>32726417878.390999</v>
      </c>
      <c r="BE264" s="12">
        <v>35401331609.591599</v>
      </c>
      <c r="BF264" s="12">
        <v>40415233436.176697</v>
      </c>
      <c r="BG264" s="12">
        <v>43228585321.327202</v>
      </c>
      <c r="BH264" s="12">
        <v>42444489522.230301</v>
      </c>
      <c r="BI264" s="12">
        <v>31317824943.207298</v>
      </c>
      <c r="BJ264" s="12">
        <v>26842228828.562901</v>
      </c>
      <c r="BK264" s="12">
        <v>21606160783.984501</v>
      </c>
    </row>
    <row r="265" spans="1:67" x14ac:dyDescent="0.2">
      <c r="A265" s="12" t="s">
        <v>113</v>
      </c>
      <c r="B265" s="12" t="s">
        <v>112</v>
      </c>
      <c r="C265" s="12" t="s">
        <v>978</v>
      </c>
      <c r="D265" s="12" t="s">
        <v>979</v>
      </c>
      <c r="E265" s="12">
        <v>8748596500.5613995</v>
      </c>
      <c r="F265" s="12">
        <v>9225996309.6014805</v>
      </c>
      <c r="G265" s="12">
        <v>9813996074.4015694</v>
      </c>
      <c r="H265" s="12">
        <v>10854195658.321699</v>
      </c>
      <c r="I265" s="12">
        <v>11955995217.6019</v>
      </c>
      <c r="J265" s="12">
        <v>13068994772.4021</v>
      </c>
      <c r="K265" s="12">
        <v>14211394315.442301</v>
      </c>
      <c r="L265" s="12">
        <v>15821393671.442499</v>
      </c>
      <c r="M265" s="12">
        <v>17124793150.082701</v>
      </c>
      <c r="N265" s="12">
        <v>19256992297.203098</v>
      </c>
      <c r="O265" s="12">
        <v>21218391512.643398</v>
      </c>
      <c r="P265" s="12">
        <v>23411076638.278999</v>
      </c>
      <c r="Q265" s="12">
        <v>24515919216.885101</v>
      </c>
      <c r="R265" s="12">
        <v>33262772008.1446</v>
      </c>
      <c r="S265" s="12">
        <v>41389186094.599197</v>
      </c>
      <c r="T265" s="12">
        <v>42906905672.419998</v>
      </c>
      <c r="U265" s="12">
        <v>41150460287.615097</v>
      </c>
      <c r="V265" s="12">
        <v>45328411332.102798</v>
      </c>
      <c r="W265" s="12">
        <v>51607412901.853203</v>
      </c>
      <c r="X265" s="12">
        <v>63038658088.912102</v>
      </c>
      <c r="Y265" s="12">
        <v>89411864402.4272</v>
      </c>
      <c r="Z265" s="12">
        <v>93141472163.759598</v>
      </c>
      <c r="AA265" s="12">
        <v>85904057409.358505</v>
      </c>
      <c r="AB265" s="12">
        <v>96204110941.5672</v>
      </c>
      <c r="AC265" s="12">
        <v>84870163365.930603</v>
      </c>
      <c r="AD265" s="12">
        <v>64459376086.688301</v>
      </c>
      <c r="AE265" s="12">
        <v>73354771399.262695</v>
      </c>
      <c r="AF265" s="12">
        <v>96535763418.372894</v>
      </c>
      <c r="AG265" s="12">
        <v>103976831870.957</v>
      </c>
      <c r="AH265" s="12">
        <v>108055624081.806</v>
      </c>
      <c r="AI265" s="12">
        <v>126048140141.869</v>
      </c>
      <c r="AJ265" s="12">
        <v>135203698237.97701</v>
      </c>
      <c r="AK265" s="12">
        <v>146956150986.63599</v>
      </c>
      <c r="AL265" s="12">
        <v>147194747565.75</v>
      </c>
      <c r="AM265" s="12">
        <v>153512712381.836</v>
      </c>
      <c r="AN265" s="12">
        <v>171735933897.33099</v>
      </c>
      <c r="AO265" s="12">
        <v>163234925380.56299</v>
      </c>
      <c r="AP265" s="12">
        <v>168978057327.73001</v>
      </c>
      <c r="AQ265" s="12">
        <v>152982984557.233</v>
      </c>
      <c r="AR265" s="12">
        <v>151516957078.53601</v>
      </c>
      <c r="AS265" s="12">
        <v>151752757215.30899</v>
      </c>
      <c r="AT265" s="12">
        <v>135429905922.526</v>
      </c>
      <c r="AU265" s="12">
        <v>129087556612.44901</v>
      </c>
      <c r="AV265" s="12">
        <v>197018965308.69699</v>
      </c>
      <c r="AW265" s="12">
        <v>255806908594.573</v>
      </c>
      <c r="AX265" s="12">
        <v>288867217196.534</v>
      </c>
      <c r="AY265" s="12">
        <v>303858675363.64301</v>
      </c>
      <c r="AZ265" s="12">
        <v>333077117253.68402</v>
      </c>
      <c r="BA265" s="12">
        <v>316131258616.30902</v>
      </c>
      <c r="BB265" s="12">
        <v>329754060647.12903</v>
      </c>
      <c r="BC265" s="12">
        <v>417363822801.71301</v>
      </c>
      <c r="BD265" s="12">
        <v>458199494830.83398</v>
      </c>
      <c r="BE265" s="12">
        <v>434400545085.81097</v>
      </c>
      <c r="BF265" s="12">
        <v>400886013595.573</v>
      </c>
      <c r="BG265" s="12">
        <v>381198869776.10602</v>
      </c>
      <c r="BH265" s="12">
        <v>346709790458.56299</v>
      </c>
      <c r="BI265" s="12">
        <v>323585509674.48102</v>
      </c>
      <c r="BJ265" s="12">
        <v>381448814654.62</v>
      </c>
      <c r="BK265" s="12">
        <v>405260723892.86798</v>
      </c>
      <c r="BL265" s="12">
        <v>389330032221.07001</v>
      </c>
      <c r="BM265" s="12">
        <v>338291396025.95599</v>
      </c>
      <c r="BN265" s="12">
        <v>420117812463.841</v>
      </c>
      <c r="BO265" s="12">
        <v>405270850099.38702</v>
      </c>
    </row>
    <row r="266" spans="1:67" x14ac:dyDescent="0.2">
      <c r="A266" s="12" t="s">
        <v>299</v>
      </c>
      <c r="B266" s="12" t="s">
        <v>298</v>
      </c>
      <c r="C266" s="12" t="s">
        <v>978</v>
      </c>
      <c r="D266" s="12" t="s">
        <v>979</v>
      </c>
      <c r="E266" s="12">
        <v>713000000</v>
      </c>
      <c r="F266" s="12">
        <v>696285714.28571403</v>
      </c>
      <c r="G266" s="12">
        <v>693142857.14285696</v>
      </c>
      <c r="H266" s="12">
        <v>718714285.71428597</v>
      </c>
      <c r="I266" s="12">
        <v>839428571.42857099</v>
      </c>
      <c r="J266" s="12">
        <v>1082857142.8571401</v>
      </c>
      <c r="K266" s="12">
        <v>1264285714.2857101</v>
      </c>
      <c r="L266" s="12">
        <v>1368000000</v>
      </c>
      <c r="M266" s="12">
        <v>1605857142.8571401</v>
      </c>
      <c r="N266" s="12">
        <v>1965714285.7142899</v>
      </c>
      <c r="O266" s="12">
        <v>1825285714.2857101</v>
      </c>
      <c r="P266" s="12">
        <v>1687000000</v>
      </c>
      <c r="Q266" s="12">
        <v>1873249299.7198901</v>
      </c>
      <c r="R266" s="12">
        <v>2435736196.3190198</v>
      </c>
      <c r="S266" s="12">
        <v>2913063763.6080899</v>
      </c>
      <c r="T266" s="12">
        <v>2443545878.6936202</v>
      </c>
      <c r="U266" s="12">
        <v>2742796005.70613</v>
      </c>
      <c r="V266" s="12">
        <v>2514430379.74684</v>
      </c>
      <c r="W266" s="12">
        <v>2809862671.6604199</v>
      </c>
      <c r="X266" s="12">
        <v>3354854981.0844898</v>
      </c>
      <c r="Y266" s="12">
        <v>3882889733.8403001</v>
      </c>
      <c r="Z266" s="12">
        <v>4006206896.5517201</v>
      </c>
      <c r="AA266" s="12">
        <v>3870075349.8385401</v>
      </c>
      <c r="AB266" s="12">
        <v>3321048451.15171</v>
      </c>
      <c r="AC266" s="12">
        <v>2719801434.0871501</v>
      </c>
      <c r="AD266" s="12">
        <v>2252197452.2293</v>
      </c>
      <c r="AE266" s="12">
        <v>1664509501.7976401</v>
      </c>
      <c r="AF266" s="12">
        <v>2265364008.82446</v>
      </c>
      <c r="AG266" s="12">
        <v>3728889426.5666599</v>
      </c>
      <c r="AH266" s="12">
        <v>3994585203.41682</v>
      </c>
      <c r="AI266" s="12">
        <v>3285217391.3043499</v>
      </c>
      <c r="AJ266" s="12">
        <v>3376791460.39604</v>
      </c>
      <c r="AK266" s="12">
        <v>3181921787.7094998</v>
      </c>
      <c r="AL266" s="12">
        <v>3273505343.8553901</v>
      </c>
      <c r="AM266" s="12">
        <v>3656806165.7884798</v>
      </c>
      <c r="AN266" s="12">
        <v>3806983413.1641598</v>
      </c>
      <c r="AO266" s="12">
        <v>3597220962.0001702</v>
      </c>
      <c r="AP266" s="12">
        <v>4303288479.7086</v>
      </c>
      <c r="AQ266" s="12">
        <v>3537741941.8936701</v>
      </c>
      <c r="AR266" s="12">
        <v>3404284890.5306001</v>
      </c>
      <c r="AS266" s="12">
        <v>3600632111.4141402</v>
      </c>
      <c r="AT266" s="12">
        <v>4094441301.2142301</v>
      </c>
      <c r="AU266" s="12">
        <v>4193850445.4263201</v>
      </c>
      <c r="AV266" s="12">
        <v>4901869764.0595703</v>
      </c>
      <c r="AW266" s="12">
        <v>6221110219.4554195</v>
      </c>
      <c r="AX266" s="12">
        <v>8331870169.1497698</v>
      </c>
      <c r="AY266" s="12">
        <v>12756858899.2812</v>
      </c>
      <c r="AZ266" s="12">
        <v>14056957976.264799</v>
      </c>
      <c r="BA266" s="12">
        <v>17910858637.9048</v>
      </c>
      <c r="BB266" s="12">
        <v>15328342303.9575</v>
      </c>
      <c r="BC266" s="12">
        <v>20265559483.854801</v>
      </c>
      <c r="BD266" s="12">
        <v>23459515275.577599</v>
      </c>
      <c r="BE266" s="12">
        <v>25503060420.026001</v>
      </c>
      <c r="BF266" s="12">
        <v>28037239462.714199</v>
      </c>
      <c r="BG266" s="12">
        <v>27141023558.082901</v>
      </c>
      <c r="BH266" s="12">
        <v>21251216798.776199</v>
      </c>
      <c r="BI266" s="12">
        <v>20958412538.309299</v>
      </c>
      <c r="BJ266" s="12">
        <v>25873601260.8353</v>
      </c>
      <c r="BK266" s="12">
        <v>26311507273.6735</v>
      </c>
      <c r="BL266" s="12">
        <v>23308667781.2258</v>
      </c>
      <c r="BM266" s="12">
        <v>18110638269.223801</v>
      </c>
      <c r="BN266" s="12">
        <v>22096416933.790199</v>
      </c>
      <c r="BO266" s="12">
        <v>29163782138.341499</v>
      </c>
    </row>
    <row r="267" spans="1:67" x14ac:dyDescent="0.2">
      <c r="A267" s="12" t="s">
        <v>293</v>
      </c>
      <c r="B267" s="12" t="s">
        <v>292</v>
      </c>
      <c r="C267" s="12" t="s">
        <v>978</v>
      </c>
      <c r="D267" s="12" t="s">
        <v>979</v>
      </c>
      <c r="E267" s="12">
        <v>1052990400</v>
      </c>
      <c r="F267" s="12">
        <v>1096646600</v>
      </c>
      <c r="G267" s="12">
        <v>1117601600</v>
      </c>
      <c r="H267" s="12">
        <v>1159511700</v>
      </c>
      <c r="I267" s="12">
        <v>1217138000</v>
      </c>
      <c r="J267" s="12">
        <v>1311435800</v>
      </c>
      <c r="K267" s="12">
        <v>1281749500</v>
      </c>
      <c r="L267" s="12">
        <v>1397002000</v>
      </c>
      <c r="M267" s="12">
        <v>1479599900</v>
      </c>
      <c r="N267" s="12">
        <v>1747998800</v>
      </c>
      <c r="O267" s="12">
        <v>1884206300</v>
      </c>
      <c r="P267" s="12">
        <v>2178716300</v>
      </c>
      <c r="Q267" s="12">
        <v>2677729400</v>
      </c>
      <c r="R267" s="12">
        <v>3309353600</v>
      </c>
      <c r="S267" s="12">
        <v>3982161400</v>
      </c>
      <c r="T267" s="12">
        <v>4371300700</v>
      </c>
      <c r="U267" s="12">
        <v>4318372000</v>
      </c>
      <c r="V267" s="12">
        <v>4364382100</v>
      </c>
      <c r="W267" s="12">
        <v>4351600500</v>
      </c>
      <c r="X267" s="12">
        <v>5177459400</v>
      </c>
      <c r="Y267" s="12">
        <v>6678868200</v>
      </c>
      <c r="Z267" s="12">
        <v>8011373800</v>
      </c>
      <c r="AA267" s="12">
        <v>8539700700</v>
      </c>
      <c r="AB267" s="12">
        <v>7764067000</v>
      </c>
      <c r="AC267" s="12">
        <v>6352125900</v>
      </c>
      <c r="AD267" s="12">
        <v>5637259300</v>
      </c>
      <c r="AE267" s="12">
        <v>6217523700</v>
      </c>
      <c r="AF267" s="12">
        <v>6741215100</v>
      </c>
      <c r="AG267" s="12">
        <v>7814784100</v>
      </c>
      <c r="AH267" s="12">
        <v>8286322700</v>
      </c>
      <c r="AI267" s="12">
        <v>8783816700</v>
      </c>
      <c r="AJ267" s="12">
        <v>8641481700</v>
      </c>
      <c r="AK267" s="12">
        <v>6751472200</v>
      </c>
      <c r="AL267" s="12">
        <v>6563813300</v>
      </c>
      <c r="AM267" s="12">
        <v>6890675000</v>
      </c>
      <c r="AN267" s="12">
        <v>7111270700</v>
      </c>
      <c r="AO267" s="12">
        <v>8553146600</v>
      </c>
      <c r="AP267" s="12">
        <v>8529571600</v>
      </c>
      <c r="AQ267" s="12">
        <v>6401968200</v>
      </c>
      <c r="AR267" s="12">
        <v>6858013100</v>
      </c>
      <c r="AS267" s="12">
        <v>6689957600</v>
      </c>
      <c r="AT267" s="12">
        <v>6777384700</v>
      </c>
      <c r="AU267" s="12">
        <v>6342116400</v>
      </c>
      <c r="AV267" s="12">
        <v>5727591800</v>
      </c>
      <c r="AW267" s="12">
        <v>5805598400</v>
      </c>
      <c r="AX267" s="12">
        <v>5755215200</v>
      </c>
      <c r="AY267" s="12">
        <v>5443896500</v>
      </c>
      <c r="AZ267" s="12">
        <v>5291950100</v>
      </c>
      <c r="BA267" s="12">
        <v>4415702800</v>
      </c>
      <c r="BB267" s="12">
        <v>9665793300</v>
      </c>
      <c r="BC267" s="12">
        <v>12041655200</v>
      </c>
      <c r="BD267" s="12">
        <v>14101920300</v>
      </c>
      <c r="BE267" s="12">
        <v>17114849900</v>
      </c>
      <c r="BF267" s="12">
        <v>19091020000</v>
      </c>
      <c r="BG267" s="12">
        <v>19495519600</v>
      </c>
      <c r="BH267" s="12">
        <v>19963120600</v>
      </c>
      <c r="BI267" s="12">
        <v>20548678100</v>
      </c>
      <c r="BJ267" s="12">
        <v>17584890936.652302</v>
      </c>
      <c r="BK267" s="12">
        <v>34156069918.060902</v>
      </c>
      <c r="BL267" s="12">
        <v>21832234921.176201</v>
      </c>
      <c r="BM267" s="12">
        <v>21509698406.6618</v>
      </c>
      <c r="BN267" s="12">
        <v>28371238665.864601</v>
      </c>
      <c r="BO267" s="12">
        <v>27366627153.085201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1AC44C2190D45AF0B34C8D631618A" ma:contentTypeVersion="13" ma:contentTypeDescription="Create a new document." ma:contentTypeScope="" ma:versionID="58037f333660dd8b21a4832ef9eab2c8">
  <xsd:schema xmlns:xsd="http://www.w3.org/2001/XMLSchema" xmlns:xs="http://www.w3.org/2001/XMLSchema" xmlns:p="http://schemas.microsoft.com/office/2006/metadata/properties" xmlns:ns2="1b3dc56e-2b62-4f92-af32-7c6b3754e661" xmlns:ns3="3347fb56-bb9d-4b4e-9b23-f2090f90f067" targetNamespace="http://schemas.microsoft.com/office/2006/metadata/properties" ma:root="true" ma:fieldsID="3011831fe5505c99bdaa1fefcf5a1ac1" ns2:_="" ns3:_="">
    <xsd:import namespace="1b3dc56e-2b62-4f92-af32-7c6b3754e661"/>
    <xsd:import namespace="3347fb56-bb9d-4b4e-9b23-f2090f90f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dc56e-2b62-4f92-af32-7c6b3754e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7fb56-bb9d-4b4e-9b23-f2090f90f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aa0adea-13ec-47ce-9c40-c9738c9bc3ea}" ma:internalName="TaxCatchAll" ma:showField="CatchAllData" ma:web="3347fb56-bb9d-4b4e-9b23-f2090f90f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5FF71-44DE-4230-BD1B-F2BBAED9C8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dc56e-2b62-4f92-af32-7c6b3754e661"/>
    <ds:schemaRef ds:uri="3347fb56-bb9d-4b4e-9b23-f2090f90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7E953-BFFE-4534-9F94-B69F965B5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ISO</vt:lpstr>
      <vt:lpstr>ISOraw</vt:lpstr>
      <vt:lpstr>CountryData</vt:lpstr>
      <vt:lpstr>lang_tr</vt:lpstr>
      <vt:lpstr>Sources</vt:lpstr>
      <vt:lpstr>Region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Sofiarti Dyah Anggunia</dc:creator>
  <cp:lastModifiedBy>Anggunia, Sofiarti Dyah</cp:lastModifiedBy>
  <dcterms:created xsi:type="dcterms:W3CDTF">2024-02-15T14:13:06Z</dcterms:created>
  <dcterms:modified xsi:type="dcterms:W3CDTF">2025-10-22T17:14:17Z</dcterms:modified>
</cp:coreProperties>
</file>